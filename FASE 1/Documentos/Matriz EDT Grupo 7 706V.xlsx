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_hu\Downloads\"/>
    </mc:Choice>
  </mc:AlternateContent>
  <xr:revisionPtr revIDLastSave="0" documentId="8_{DEAF2B4E-911E-412C-8ED7-DB013F01159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EDT" sheetId="1" r:id="rId1"/>
    <sheet name="Horas disponibles del equipo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8" i="1" l="1"/>
  <c r="K49" i="1" s="1"/>
  <c r="S19" i="1"/>
  <c r="B50" i="1"/>
  <c r="B51" i="1"/>
  <c r="B52" i="1"/>
  <c r="B53" i="1"/>
  <c r="B54" i="1"/>
  <c r="B61" i="1" s="1"/>
  <c r="B55" i="1"/>
  <c r="B56" i="1"/>
  <c r="B57" i="1"/>
  <c r="B58" i="1"/>
  <c r="B59" i="1"/>
  <c r="B60" i="1"/>
  <c r="B4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29" i="1"/>
  <c r="B20" i="1"/>
  <c r="B21" i="1"/>
  <c r="B22" i="1"/>
  <c r="B23" i="1"/>
  <c r="B24" i="1"/>
  <c r="B25" i="1"/>
  <c r="B26" i="1"/>
  <c r="B19" i="1"/>
  <c r="B7" i="1"/>
  <c r="B8" i="1"/>
  <c r="B9" i="1"/>
  <c r="B10" i="1"/>
  <c r="B11" i="1"/>
  <c r="B12" i="1"/>
  <c r="B13" i="1"/>
  <c r="B14" i="1"/>
  <c r="B15" i="1"/>
  <c r="B16" i="1"/>
  <c r="B6" i="1"/>
  <c r="K58" i="1"/>
  <c r="L7" i="4"/>
  <c r="L8" i="4"/>
  <c r="L9" i="4"/>
  <c r="L10" i="4"/>
  <c r="L11" i="4"/>
  <c r="L6" i="4"/>
  <c r="U20" i="4"/>
  <c r="U21" i="4"/>
  <c r="U22" i="4"/>
  <c r="U23" i="4"/>
  <c r="U24" i="4"/>
  <c r="U19" i="4"/>
  <c r="T20" i="4"/>
  <c r="T21" i="4"/>
  <c r="T22" i="4"/>
  <c r="T23" i="4"/>
  <c r="T24" i="4"/>
  <c r="T19" i="4"/>
  <c r="B60" i="4"/>
  <c r="B59" i="4"/>
  <c r="B58" i="4"/>
  <c r="B57" i="4"/>
  <c r="B56" i="4"/>
  <c r="B55" i="4"/>
  <c r="B54" i="4"/>
  <c r="B53" i="4"/>
  <c r="B52" i="4"/>
  <c r="B51" i="4"/>
  <c r="B50" i="4"/>
  <c r="B49" i="4"/>
  <c r="B61" i="4" s="1"/>
  <c r="B46" i="4"/>
  <c r="B45" i="4"/>
  <c r="B44" i="4"/>
  <c r="B43" i="4"/>
  <c r="B42" i="4"/>
  <c r="M41" i="4"/>
  <c r="L41" i="4"/>
  <c r="B41" i="4"/>
  <c r="P40" i="4"/>
  <c r="Q40" i="4" s="1"/>
  <c r="N40" i="4"/>
  <c r="M40" i="4"/>
  <c r="B40" i="4"/>
  <c r="M39" i="4"/>
  <c r="N39" i="4" s="1"/>
  <c r="B39" i="4"/>
  <c r="M38" i="4"/>
  <c r="N38" i="4" s="1"/>
  <c r="B38" i="4"/>
  <c r="M37" i="4"/>
  <c r="N37" i="4" s="1"/>
  <c r="B37" i="4"/>
  <c r="M36" i="4"/>
  <c r="N36" i="4" s="1"/>
  <c r="B36" i="4"/>
  <c r="M35" i="4"/>
  <c r="M6" i="4" s="1"/>
  <c r="B35" i="4"/>
  <c r="B34" i="4"/>
  <c r="B33" i="4"/>
  <c r="B32" i="4"/>
  <c r="B47" i="4" s="1"/>
  <c r="B31" i="4"/>
  <c r="B30" i="4"/>
  <c r="B29" i="4"/>
  <c r="B26" i="4"/>
  <c r="B25" i="4"/>
  <c r="O24" i="4"/>
  <c r="N24" i="4"/>
  <c r="M24" i="4"/>
  <c r="L24" i="4"/>
  <c r="P24" i="4" s="1"/>
  <c r="B24" i="4"/>
  <c r="O23" i="4"/>
  <c r="Q10" i="4" s="1"/>
  <c r="N23" i="4"/>
  <c r="M23" i="4"/>
  <c r="L23" i="4"/>
  <c r="B23" i="4"/>
  <c r="O22" i="4"/>
  <c r="N22" i="4"/>
  <c r="M22" i="4"/>
  <c r="L22" i="4"/>
  <c r="P22" i="4" s="1"/>
  <c r="B22" i="4"/>
  <c r="O21" i="4"/>
  <c r="N21" i="4"/>
  <c r="M21" i="4"/>
  <c r="L21" i="4"/>
  <c r="L25" i="4" s="1"/>
  <c r="B21" i="4"/>
  <c r="O20" i="4"/>
  <c r="N20" i="4"/>
  <c r="M20" i="4"/>
  <c r="L20" i="4"/>
  <c r="B20" i="4"/>
  <c r="O19" i="4"/>
  <c r="N19" i="4"/>
  <c r="M19" i="4"/>
  <c r="L19" i="4"/>
  <c r="P19" i="4" s="1"/>
  <c r="B19" i="4"/>
  <c r="B27" i="4" s="1"/>
  <c r="B16" i="4"/>
  <c r="L15" i="4"/>
  <c r="B15" i="4"/>
  <c r="B14" i="4"/>
  <c r="B13" i="4"/>
  <c r="B12" i="4"/>
  <c r="Q11" i="4"/>
  <c r="P11" i="4"/>
  <c r="O11" i="4"/>
  <c r="M11" i="4"/>
  <c r="B11" i="4"/>
  <c r="M10" i="4"/>
  <c r="N10" i="4" s="1"/>
  <c r="B10" i="4"/>
  <c r="M9" i="4"/>
  <c r="P38" i="4" s="1"/>
  <c r="Q38" i="4" s="1"/>
  <c r="B9" i="4"/>
  <c r="M8" i="4"/>
  <c r="Q8" i="4" s="1"/>
  <c r="B8" i="4"/>
  <c r="B7" i="4"/>
  <c r="B6" i="4"/>
  <c r="B17" i="4" s="1"/>
  <c r="L41" i="1"/>
  <c r="Q37" i="1"/>
  <c r="Q38" i="1"/>
  <c r="Q39" i="1"/>
  <c r="Q40" i="1"/>
  <c r="P37" i="1"/>
  <c r="P38" i="1"/>
  <c r="P39" i="1"/>
  <c r="P40" i="1"/>
  <c r="P35" i="1"/>
  <c r="Q6" i="1"/>
  <c r="P6" i="1"/>
  <c r="O6" i="1"/>
  <c r="M8" i="1"/>
  <c r="P8" i="1" s="1"/>
  <c r="M9" i="1"/>
  <c r="P9" i="1" s="1"/>
  <c r="M6" i="1"/>
  <c r="M38" i="1"/>
  <c r="N38" i="1" s="1"/>
  <c r="M39" i="1"/>
  <c r="N39" i="1" s="1"/>
  <c r="M40" i="1"/>
  <c r="N40" i="1" s="1"/>
  <c r="B27" i="1"/>
  <c r="M37" i="1"/>
  <c r="M36" i="1"/>
  <c r="M41" i="1" s="1"/>
  <c r="M35" i="1"/>
  <c r="N35" i="1" s="1"/>
  <c r="L24" i="1"/>
  <c r="L19" i="1"/>
  <c r="N6" i="1" s="1"/>
  <c r="L22" i="1"/>
  <c r="P22" i="1" s="1"/>
  <c r="L23" i="1"/>
  <c r="L21" i="1"/>
  <c r="P21" i="1" s="1"/>
  <c r="L20" i="1"/>
  <c r="P20" i="1" s="1"/>
  <c r="L7" i="1" s="1"/>
  <c r="M24" i="1"/>
  <c r="P24" i="1" s="1"/>
  <c r="L11" i="1" s="1"/>
  <c r="M23" i="1"/>
  <c r="M22" i="1"/>
  <c r="M21" i="1"/>
  <c r="M20" i="1"/>
  <c r="N24" i="1"/>
  <c r="N23" i="1"/>
  <c r="N22" i="1"/>
  <c r="N21" i="1"/>
  <c r="N20" i="1"/>
  <c r="O24" i="1"/>
  <c r="O23" i="1"/>
  <c r="O22" i="1"/>
  <c r="O21" i="1"/>
  <c r="O20" i="1"/>
  <c r="O19" i="1"/>
  <c r="O25" i="1" s="1"/>
  <c r="M19" i="1"/>
  <c r="N19" i="1"/>
  <c r="L15" i="1"/>
  <c r="M7" i="1" l="1"/>
  <c r="N36" i="1"/>
  <c r="B17" i="1"/>
  <c r="P23" i="1"/>
  <c r="Q23" i="1" s="1"/>
  <c r="Q21" i="1"/>
  <c r="L8" i="1"/>
  <c r="S21" i="1"/>
  <c r="L9" i="1"/>
  <c r="S22" i="1"/>
  <c r="Q22" i="1"/>
  <c r="P19" i="1"/>
  <c r="R22" i="1"/>
  <c r="Q22" i="4"/>
  <c r="S22" i="4"/>
  <c r="R9" i="4"/>
  <c r="S9" i="4" s="1"/>
  <c r="R22" i="4"/>
  <c r="Q7" i="4"/>
  <c r="P7" i="4"/>
  <c r="R11" i="4"/>
  <c r="S11" i="4" s="1"/>
  <c r="S24" i="4"/>
  <c r="R24" i="4"/>
  <c r="Q24" i="4"/>
  <c r="Q19" i="4"/>
  <c r="S19" i="4"/>
  <c r="R19" i="4"/>
  <c r="O7" i="4"/>
  <c r="Q6" i="4"/>
  <c r="Q12" i="4" s="1"/>
  <c r="P6" i="4"/>
  <c r="P12" i="4" s="1"/>
  <c r="O6" i="4"/>
  <c r="N6" i="4"/>
  <c r="P35" i="4"/>
  <c r="Q35" i="4" s="1"/>
  <c r="N11" i="4"/>
  <c r="P23" i="4"/>
  <c r="O8" i="4"/>
  <c r="O9" i="4"/>
  <c r="P20" i="4"/>
  <c r="N8" i="4"/>
  <c r="N35" i="4"/>
  <c r="N41" i="4" s="1"/>
  <c r="P21" i="4"/>
  <c r="N25" i="4"/>
  <c r="M7" i="4"/>
  <c r="P39" i="4"/>
  <c r="Q39" i="4" s="1"/>
  <c r="P9" i="4"/>
  <c r="P37" i="4"/>
  <c r="Q37" i="4" s="1"/>
  <c r="M25" i="4"/>
  <c r="P25" i="4" s="1"/>
  <c r="O10" i="4"/>
  <c r="P10" i="4"/>
  <c r="N9" i="4"/>
  <c r="Q9" i="4"/>
  <c r="O25" i="4"/>
  <c r="P8" i="4"/>
  <c r="R19" i="1"/>
  <c r="R21" i="1"/>
  <c r="R23" i="1"/>
  <c r="L10" i="1"/>
  <c r="S23" i="1"/>
  <c r="M11" i="1"/>
  <c r="R9" i="1"/>
  <c r="S9" i="1" s="1"/>
  <c r="Q9" i="1"/>
  <c r="N9" i="1"/>
  <c r="O9" i="1"/>
  <c r="Q7" i="1"/>
  <c r="N7" i="1"/>
  <c r="O7" i="1"/>
  <c r="R7" i="1"/>
  <c r="S7" i="1" s="1"/>
  <c r="O8" i="1"/>
  <c r="N8" i="1"/>
  <c r="Q8" i="1"/>
  <c r="R8" i="1"/>
  <c r="S8" i="1" s="1"/>
  <c r="M10" i="1"/>
  <c r="N37" i="1"/>
  <c r="N41" i="1" s="1"/>
  <c r="Q35" i="1"/>
  <c r="S24" i="1"/>
  <c r="Q24" i="1"/>
  <c r="R24" i="1"/>
  <c r="B47" i="1"/>
  <c r="N25" i="1"/>
  <c r="M25" i="1"/>
  <c r="L25" i="1"/>
  <c r="P7" i="1" l="1"/>
  <c r="P36" i="1"/>
  <c r="Q36" i="1" s="1"/>
  <c r="P25" i="1"/>
  <c r="L6" i="1"/>
  <c r="R6" i="1" s="1"/>
  <c r="S6" i="1" s="1"/>
  <c r="Q19" i="1"/>
  <c r="R25" i="4"/>
  <c r="Q25" i="4"/>
  <c r="R10" i="4"/>
  <c r="S10" i="4" s="1"/>
  <c r="R23" i="4"/>
  <c r="Q23" i="4"/>
  <c r="S23" i="4"/>
  <c r="O12" i="4"/>
  <c r="R6" i="4"/>
  <c r="P36" i="4"/>
  <c r="Q36" i="4" s="1"/>
  <c r="N7" i="4"/>
  <c r="R21" i="4"/>
  <c r="Q21" i="4"/>
  <c r="S21" i="4"/>
  <c r="R8" i="4"/>
  <c r="S8" i="4" s="1"/>
  <c r="R7" i="4"/>
  <c r="S7" i="4" s="1"/>
  <c r="R20" i="4"/>
  <c r="S20" i="4"/>
  <c r="Q20" i="4"/>
  <c r="N12" i="4"/>
  <c r="S25" i="4"/>
  <c r="R11" i="1"/>
  <c r="S11" i="1" s="1"/>
  <c r="P11" i="1"/>
  <c r="Q11" i="1"/>
  <c r="O11" i="1"/>
  <c r="N11" i="1"/>
  <c r="R10" i="1"/>
  <c r="S10" i="1" s="1"/>
  <c r="Q10" i="1"/>
  <c r="P10" i="1"/>
  <c r="N10" i="1"/>
  <c r="O10" i="1"/>
  <c r="R25" i="1"/>
  <c r="Q25" i="1"/>
  <c r="S20" i="1"/>
  <c r="S25" i="1" s="1"/>
  <c r="Q20" i="1"/>
  <c r="R20" i="1"/>
  <c r="S6" i="4" l="1"/>
  <c r="S12" i="4" s="1"/>
  <c r="K46" i="4" s="1"/>
  <c r="K47" i="4" s="1"/>
  <c r="R12" i="4"/>
  <c r="K27" i="4" s="1"/>
  <c r="L12" i="4"/>
  <c r="K48" i="4" s="1"/>
  <c r="L12" i="1"/>
  <c r="S12" i="1"/>
  <c r="K46" i="1" s="1"/>
  <c r="K47" i="1" s="1"/>
  <c r="R12" i="1"/>
  <c r="O12" i="1"/>
  <c r="Q12" i="1"/>
  <c r="P12" i="1"/>
  <c r="K59" i="1" l="1"/>
  <c r="K50" i="4"/>
  <c r="K49" i="4"/>
  <c r="K29" i="4"/>
  <c r="K31" i="4" s="1"/>
  <c r="K27" i="1"/>
  <c r="K29" i="1" s="1"/>
  <c r="K31" i="1" s="1"/>
  <c r="N12" i="1"/>
  <c r="K60" i="1" l="1"/>
  <c r="L60" i="1" s="1"/>
  <c r="L59" i="1"/>
  <c r="K52" i="4"/>
  <c r="K51" i="4"/>
  <c r="K56" i="1"/>
  <c r="K57" i="1" s="1"/>
  <c r="K50" i="1"/>
  <c r="K51" i="1" l="1"/>
  <c r="K52" i="1"/>
</calcChain>
</file>

<file path=xl/sharedStrings.xml><?xml version="1.0" encoding="utf-8"?>
<sst xmlns="http://schemas.openxmlformats.org/spreadsheetml/2006/main" count="336" uniqueCount="116">
  <si>
    <t>Matriz Estructura de descomposición de tareas EDT</t>
  </si>
  <si>
    <t>HORAS POR ACTIVIDAD O ENTREGABLE</t>
  </si>
  <si>
    <t>DICCIONARIO EDT</t>
  </si>
  <si>
    <t>ROL ACTOR</t>
  </si>
  <si>
    <t>NOMBRE ACTOR</t>
  </si>
  <si>
    <t>Jefe de Proyecto</t>
  </si>
  <si>
    <t>Analista Programador</t>
  </si>
  <si>
    <t>DBA</t>
  </si>
  <si>
    <t>QA</t>
  </si>
  <si>
    <t>Diseñador</t>
  </si>
  <si>
    <t>TOTAL HH</t>
  </si>
  <si>
    <t>Etapas</t>
  </si>
  <si>
    <t>Pamela Romero</t>
  </si>
  <si>
    <t>Javiera Peréz</t>
  </si>
  <si>
    <t>Karina Tobar</t>
  </si>
  <si>
    <t>Analista funcional</t>
  </si>
  <si>
    <t>Definición inicial del proyecto y problemática</t>
  </si>
  <si>
    <t>Elaboración del Acta de Constitución</t>
  </si>
  <si>
    <t>Elaboración del documento ERS</t>
  </si>
  <si>
    <t>Definición de casos de uso</t>
  </si>
  <si>
    <t>Elaboración de Casos de Uso Extendidos</t>
  </si>
  <si>
    <t>Diseño de Mockups del sistema completo</t>
  </si>
  <si>
    <t>Elaboración de Carta Gantt / RoadMap</t>
  </si>
  <si>
    <t>Documento de Avance de Sprint</t>
  </si>
  <si>
    <t>Revisión y aprobación de documentación de Fase 1</t>
  </si>
  <si>
    <t>Diseño del proceso de negocio TO-BE</t>
  </si>
  <si>
    <t>Definición de arquitectura general de la solución</t>
  </si>
  <si>
    <t>Diseño del modelo de datos</t>
  </si>
  <si>
    <t>Elaboración del Diccionario de Datos</t>
  </si>
  <si>
    <t>Elaboración de Matriz RACI</t>
  </si>
  <si>
    <t>Elaboración de Matriz de Riesgos</t>
  </si>
  <si>
    <t>Creación de Matriz de Control de Cambios</t>
  </si>
  <si>
    <t>Configuración de ambiente de desarrollo</t>
  </si>
  <si>
    <t>Desarrollo de API REST</t>
  </si>
  <si>
    <t>Validaciones y manejo de errores</t>
  </si>
  <si>
    <t>Corrección de incidencias de desarrollo</t>
  </si>
  <si>
    <t>Fase 1 - Definición y Planificación</t>
  </si>
  <si>
    <t>Fase 2.1 - Modelo Arquitectónico</t>
  </si>
  <si>
    <t>Fase 2.2 - Desarrollo del sistema</t>
  </si>
  <si>
    <t>Fase 3 - Pruebas, validación y cierre</t>
  </si>
  <si>
    <t>Analista Funcional</t>
  </si>
  <si>
    <t>Levantamiento y documentación de requerimientos.</t>
  </si>
  <si>
    <t>Elaboración de EDT y estamación de costos</t>
  </si>
  <si>
    <t>Revisión y cierre del modelo arquitectónico</t>
  </si>
  <si>
    <t>Desarrollo de Base de Datos.</t>
  </si>
  <si>
    <t>Desarrollo de autenticación y gestión de usuarios.</t>
  </si>
  <si>
    <t>Desarrollo del backend</t>
  </si>
  <si>
    <t>Desarrollo del módulo general de hábitos.</t>
  </si>
  <si>
    <t>Desarrollo del módulo para dejar de fumar.</t>
  </si>
  <si>
    <t>Desarrollo del módulo de finanzas.</t>
  </si>
  <si>
    <t>Desarrollo del módulo de alimentación.</t>
  </si>
  <si>
    <t>Desarrollo de dashboard y reportes.</t>
  </si>
  <si>
    <t>Desarrollo de aplicación/módulo administrativo y mantenedores.</t>
  </si>
  <si>
    <t>Integración con servicio externo.</t>
  </si>
  <si>
    <t>Integración App móvil – API – Base de Datos.</t>
  </si>
  <si>
    <t>Generación del Script de Base de Datos.</t>
  </si>
  <si>
    <t>Preparación de entrega del 100 % del sistema.</t>
  </si>
  <si>
    <t>Desarrollo de notificaciones.</t>
  </si>
  <si>
    <t>Elaboración del Plan de Pruebas.</t>
  </si>
  <si>
    <t>Ejecución de pruebas funcionales y de integración.</t>
  </si>
  <si>
    <t>Ejecución de pruebas de Base de Datos.</t>
  </si>
  <si>
    <t>Elaboración de Matriz de Pruebas de BD.</t>
  </si>
  <si>
    <t>Registro y gestión de defectos.</t>
  </si>
  <si>
    <t>Corrección y re-prueba.</t>
  </si>
  <si>
    <t>Verificación de alcance.</t>
  </si>
  <si>
    <t>Elaboración del Plan de Capacitación.</t>
  </si>
  <si>
    <t>Elaboración del Manual de Usuario.</t>
  </si>
  <si>
    <t>Actualización de Matriz de Control de Cambios.</t>
  </si>
  <si>
    <t>Elaboración del Informe de Cierre.</t>
  </si>
  <si>
    <t>Preparación y cierre final del proyecto.</t>
  </si>
  <si>
    <t>VALOR HH</t>
  </si>
  <si>
    <t>FASE 1</t>
  </si>
  <si>
    <t>FASE 2.1</t>
  </si>
  <si>
    <t>FASE 2.2</t>
  </si>
  <si>
    <t>FASE 3</t>
  </si>
  <si>
    <t>COSTO POR ROL</t>
  </si>
  <si>
    <t>TOTAL</t>
  </si>
  <si>
    <t>VALOR UF</t>
  </si>
  <si>
    <t>VALOR HH EN UF</t>
  </si>
  <si>
    <t>TOTAL HH FASE 1</t>
  </si>
  <si>
    <t>TOTAL HH FASE 2.2</t>
  </si>
  <si>
    <t>TOTAL HH FASE 2.1</t>
  </si>
  <si>
    <t>TOTAL HH FASE 3</t>
  </si>
  <si>
    <t>SUELDO LIQUIDO</t>
  </si>
  <si>
    <t>COSTO REAL (30%)</t>
  </si>
  <si>
    <t>DIAS</t>
  </si>
  <si>
    <t>COSTO 4 MESES</t>
  </si>
  <si>
    <t>COSTO HH</t>
  </si>
  <si>
    <t>COSTO MES HH</t>
  </si>
  <si>
    <t>RENTABILIDAD</t>
  </si>
  <si>
    <t>COSTO UF</t>
  </si>
  <si>
    <t>RENT. CLP</t>
  </si>
  <si>
    <t>COSTO CLP</t>
  </si>
  <si>
    <t>VALOR CLP</t>
  </si>
  <si>
    <t>VALOR PROYECTO HH CLP</t>
  </si>
  <si>
    <t>% GANANCIA</t>
  </si>
  <si>
    <t>Valor en UF de las horas totales de los recursos</t>
  </si>
  <si>
    <t>Valor en CLP de las horas totales de los recursos</t>
  </si>
  <si>
    <t>Valor real del proyecto en UF</t>
  </si>
  <si>
    <t>Valor real del proyecto en CLP</t>
  </si>
  <si>
    <t>Ganancia en UF del proyecto sobre el costo de su implementación</t>
  </si>
  <si>
    <t>Ganancia en CLP del proyecto sobre el costo de su implementación</t>
  </si>
  <si>
    <t>Porcentaje de ganancia del proyecto</t>
  </si>
  <si>
    <t>RESERVA DE CONTINGENCIA 20%</t>
  </si>
  <si>
    <t>VALOR COSTO PROYECTO</t>
  </si>
  <si>
    <t>MAS RESERVA CONTINGENCIA</t>
  </si>
  <si>
    <t>TOTAL UF</t>
  </si>
  <si>
    <t>TOTAL CLP</t>
  </si>
  <si>
    <t>PROMEDIO HH MENSUAL</t>
  </si>
  <si>
    <t>Programador</t>
  </si>
  <si>
    <t>GANANCIAS TOTALES EQUIPO (1,3 UF)</t>
  </si>
  <si>
    <t>GANANCIAS TOTALES EQUIPO (1,3 UF) - CT</t>
  </si>
  <si>
    <t>TOTAL HORAS DISPONIBLES  4 MESES</t>
  </si>
  <si>
    <t>TOTAL HORAS PROYECTO 4 MESES</t>
  </si>
  <si>
    <t>HORAS DISPONIBLES 4 MESES</t>
  </si>
  <si>
    <t>ESTA PLANILLLA FUE UTILIZADA SOLO PARA ANALISIS, SE REGISTRAN LAS HORAS DISPONIBLES DE LOS TRABAJADORES EN 4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</si>
</sst>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5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42" fontId="0" fillId="0" borderId="1" xfId="0" applyNumberFormat="1" applyBorder="1"/>
    <xf numFmtId="0" fontId="0" fillId="0" borderId="1" xfId="0" applyBorder="1" applyAlignment="1">
      <alignment wrapText="1"/>
    </xf>
    <xf numFmtId="9" fontId="0" fillId="0" borderId="1" xfId="0" applyNumberFormat="1" applyBorder="1"/>
    <xf numFmtId="0" fontId="0" fillId="2" borderId="2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right"/>
    </xf>
    <xf numFmtId="42" fontId="0" fillId="0" borderId="1" xfId="1" applyFont="1" applyBorder="1"/>
    <xf numFmtId="42" fontId="4" fillId="2" borderId="1" xfId="1" applyFont="1" applyFill="1" applyBorder="1" applyAlignment="1">
      <alignment horizontal="right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center"/>
    </xf>
    <xf numFmtId="42" fontId="0" fillId="0" borderId="0" xfId="0" applyNumberFormat="1"/>
    <xf numFmtId="165" fontId="0" fillId="0" borderId="1" xfId="0" applyNumberFormat="1" applyBorder="1" applyAlignment="1">
      <alignment horizontal="left" vertical="center"/>
    </xf>
    <xf numFmtId="165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wrapText="1"/>
    </xf>
    <xf numFmtId="0" fontId="4" fillId="2" borderId="3" xfId="0" applyFont="1" applyFill="1" applyBorder="1" applyAlignment="1">
      <alignment horizontal="center"/>
    </xf>
    <xf numFmtId="42" fontId="0" fillId="0" borderId="3" xfId="0" applyNumberFormat="1" applyBorder="1"/>
    <xf numFmtId="1" fontId="0" fillId="0" borderId="1" xfId="1" applyNumberFormat="1" applyFont="1" applyBorder="1"/>
    <xf numFmtId="9" fontId="0" fillId="0" borderId="1" xfId="2" applyFont="1" applyBorder="1"/>
    <xf numFmtId="1" fontId="0" fillId="0" borderId="1" xfId="0" applyNumberFormat="1" applyBorder="1"/>
    <xf numFmtId="0" fontId="0" fillId="0" borderId="1" xfId="0" applyBorder="1" applyAlignment="1">
      <alignment horizontal="left"/>
    </xf>
    <xf numFmtId="1" fontId="4" fillId="0" borderId="1" xfId="0" applyNumberFormat="1" applyFont="1" applyBorder="1" applyAlignment="1">
      <alignment wrapText="1"/>
    </xf>
    <xf numFmtId="42" fontId="4" fillId="0" borderId="1" xfId="1" applyFont="1" applyBorder="1"/>
    <xf numFmtId="1" fontId="0" fillId="0" borderId="1" xfId="0" applyNumberFormat="1" applyBorder="1" applyAlignment="1">
      <alignment wrapText="1"/>
    </xf>
    <xf numFmtId="1" fontId="0" fillId="0" borderId="1" xfId="0" applyNumberFormat="1" applyBorder="1" applyAlignment="1">
      <alignment horizontal="center"/>
    </xf>
    <xf numFmtId="42" fontId="4" fillId="4" borderId="1" xfId="1" applyFont="1" applyFill="1" applyBorder="1" applyAlignment="1">
      <alignment horizontal="right"/>
    </xf>
    <xf numFmtId="42" fontId="0" fillId="4" borderId="1" xfId="1" applyFont="1" applyFill="1" applyBorder="1"/>
    <xf numFmtId="1" fontId="0" fillId="4" borderId="1" xfId="1" applyNumberFormat="1" applyFont="1" applyFill="1" applyBorder="1"/>
    <xf numFmtId="9" fontId="0" fillId="0" borderId="3" xfId="2" applyFont="1" applyBorder="1" applyAlignment="1">
      <alignment horizontal="left"/>
    </xf>
    <xf numFmtId="9" fontId="0" fillId="0" borderId="4" xfId="2" applyFont="1" applyBorder="1" applyAlignment="1">
      <alignment horizontal="left"/>
    </xf>
    <xf numFmtId="9" fontId="0" fillId="0" borderId="5" xfId="2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0" fillId="5" borderId="7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5" borderId="0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</cellXfs>
  <cellStyles count="3">
    <cellStyle name="Moneda [0]" xfId="1" builtinId="7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61"/>
  <sheetViews>
    <sheetView tabSelected="1" topLeftCell="D1" zoomScale="98" zoomScaleNormal="98" workbookViewId="0">
      <selection activeCell="O58" sqref="O58"/>
    </sheetView>
  </sheetViews>
  <sheetFormatPr baseColWidth="10" defaultRowHeight="14.4" outlineLevelRow="1" x14ac:dyDescent="0.3"/>
  <cols>
    <col min="1" max="1" width="58" bestFit="1" customWidth="1"/>
    <col min="2" max="2" width="9.109375" customWidth="1"/>
    <col min="3" max="3" width="15" customWidth="1"/>
    <col min="4" max="4" width="24.33203125" customWidth="1"/>
    <col min="5" max="5" width="9.109375" customWidth="1"/>
    <col min="6" max="6" width="8.109375" customWidth="1"/>
    <col min="7" max="7" width="16.6640625" customWidth="1"/>
    <col min="8" max="8" width="12" customWidth="1"/>
    <col min="9" max="9" width="5" customWidth="1"/>
    <col min="10" max="10" width="39.109375" bestFit="1" customWidth="1"/>
    <col min="11" max="11" width="29.77734375" customWidth="1"/>
    <col min="12" max="12" width="22.77734375" customWidth="1"/>
    <col min="13" max="14" width="18" bestFit="1" customWidth="1"/>
    <col min="15" max="15" width="16.109375" bestFit="1" customWidth="1"/>
    <col min="16" max="16" width="12.21875" bestFit="1" customWidth="1"/>
    <col min="17" max="17" width="14.21875" bestFit="1" customWidth="1"/>
    <col min="18" max="18" width="14.77734375" bestFit="1" customWidth="1"/>
    <col min="19" max="19" width="27.5546875" bestFit="1" customWidth="1"/>
  </cols>
  <sheetData>
    <row r="2" spans="1:19" ht="18" x14ac:dyDescent="0.35">
      <c r="A2" s="44" t="s">
        <v>0</v>
      </c>
      <c r="B2" s="44"/>
      <c r="C2" s="44"/>
      <c r="D2" s="44"/>
    </row>
    <row r="4" spans="1:19" x14ac:dyDescent="0.3">
      <c r="A4" s="1" t="s">
        <v>11</v>
      </c>
      <c r="B4" s="1"/>
      <c r="C4" s="43" t="s">
        <v>1</v>
      </c>
      <c r="D4" s="43"/>
      <c r="E4" s="43"/>
      <c r="F4" s="43"/>
      <c r="G4" s="43"/>
      <c r="H4" s="43"/>
      <c r="J4" s="43" t="s">
        <v>2</v>
      </c>
      <c r="K4" s="43"/>
    </row>
    <row r="5" spans="1:19" ht="14.4" customHeight="1" x14ac:dyDescent="0.3">
      <c r="A5" s="7" t="s">
        <v>36</v>
      </c>
      <c r="B5" s="7" t="s">
        <v>85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40</v>
      </c>
      <c r="H5" s="3" t="s">
        <v>9</v>
      </c>
      <c r="J5" s="13" t="s">
        <v>3</v>
      </c>
      <c r="K5" s="13" t="s">
        <v>4</v>
      </c>
      <c r="L5" s="13" t="s">
        <v>10</v>
      </c>
      <c r="M5" s="13" t="s">
        <v>70</v>
      </c>
      <c r="N5" s="13" t="s">
        <v>71</v>
      </c>
      <c r="O5" s="13" t="s">
        <v>72</v>
      </c>
      <c r="P5" s="13" t="s">
        <v>73</v>
      </c>
      <c r="Q5" s="13" t="s">
        <v>74</v>
      </c>
      <c r="R5" s="13" t="s">
        <v>75</v>
      </c>
      <c r="S5" s="13" t="s">
        <v>105</v>
      </c>
    </row>
    <row r="6" spans="1:19" outlineLevel="1" x14ac:dyDescent="0.3">
      <c r="A6" s="8" t="s">
        <v>16</v>
      </c>
      <c r="B6" s="22">
        <f>SUM(C6:H6)/8/6</f>
        <v>0.58333333333333337</v>
      </c>
      <c r="C6" s="34">
        <v>10</v>
      </c>
      <c r="D6" s="34">
        <v>5</v>
      </c>
      <c r="E6" s="34">
        <v>2</v>
      </c>
      <c r="F6" s="34">
        <v>2</v>
      </c>
      <c r="G6" s="34">
        <v>7</v>
      </c>
      <c r="H6" s="34">
        <v>2</v>
      </c>
      <c r="J6" s="1" t="s">
        <v>5</v>
      </c>
      <c r="K6" s="1" t="s">
        <v>12</v>
      </c>
      <c r="L6" s="1">
        <f>P19</f>
        <v>206</v>
      </c>
      <c r="M6" s="4">
        <f>(M35/20)/8</f>
        <v>12187.5</v>
      </c>
      <c r="N6" s="15">
        <f>L19*M6</f>
        <v>926250</v>
      </c>
      <c r="O6" s="15">
        <f>M19*M6</f>
        <v>682500</v>
      </c>
      <c r="P6" s="15">
        <f>N19*M6</f>
        <v>292500</v>
      </c>
      <c r="Q6" s="15">
        <f>O19*M6</f>
        <v>609375</v>
      </c>
      <c r="R6" s="15">
        <f>L6*M6</f>
        <v>2510625</v>
      </c>
      <c r="S6" s="15">
        <f>R6*1.2</f>
        <v>3012750</v>
      </c>
    </row>
    <row r="7" spans="1:19" outlineLevel="1" x14ac:dyDescent="0.3">
      <c r="A7" s="8" t="s">
        <v>17</v>
      </c>
      <c r="B7" s="22">
        <f t="shared" ref="B7:B16" si="0">SUM(C7:H7)/8/6</f>
        <v>0.54166666666666663</v>
      </c>
      <c r="C7" s="34">
        <v>15</v>
      </c>
      <c r="D7" s="34">
        <v>2</v>
      </c>
      <c r="E7" s="34">
        <v>0</v>
      </c>
      <c r="F7" s="34">
        <v>2</v>
      </c>
      <c r="G7" s="34">
        <v>7</v>
      </c>
      <c r="H7" s="34">
        <v>0</v>
      </c>
      <c r="J7" s="1" t="s">
        <v>6</v>
      </c>
      <c r="K7" s="5" t="s">
        <v>13</v>
      </c>
      <c r="L7" s="1">
        <f t="shared" ref="L7:L11" si="1">P20</f>
        <v>569</v>
      </c>
      <c r="M7" s="4">
        <f t="shared" ref="M7:M11" si="2">(M36/20)/8</f>
        <v>16250</v>
      </c>
      <c r="N7" s="15">
        <f t="shared" ref="N7:N11" si="3">L20*M7</f>
        <v>1088750</v>
      </c>
      <c r="O7" s="15">
        <f t="shared" ref="O7:O11" si="4">M20*M7</f>
        <v>650000</v>
      </c>
      <c r="P7" s="15">
        <f t="shared" ref="P7:P11" si="5">N20*M7</f>
        <v>6597500</v>
      </c>
      <c r="Q7" s="15">
        <f t="shared" ref="Q7:Q11" si="6">O20*M7</f>
        <v>910000</v>
      </c>
      <c r="R7" s="15">
        <f>L7*M7</f>
        <v>9246250</v>
      </c>
      <c r="S7" s="15">
        <f t="shared" ref="S7:S11" si="7">R7*1.2</f>
        <v>11095500</v>
      </c>
    </row>
    <row r="8" spans="1:19" outlineLevel="1" x14ac:dyDescent="0.3">
      <c r="A8" t="s">
        <v>41</v>
      </c>
      <c r="B8" s="22">
        <f t="shared" si="0"/>
        <v>0.8125</v>
      </c>
      <c r="C8" s="34">
        <v>5</v>
      </c>
      <c r="D8" s="34">
        <v>10</v>
      </c>
      <c r="E8" s="34">
        <v>5</v>
      </c>
      <c r="F8" s="34">
        <v>2</v>
      </c>
      <c r="G8" s="34">
        <v>15</v>
      </c>
      <c r="H8" s="34">
        <v>2</v>
      </c>
      <c r="J8" s="1" t="s">
        <v>7</v>
      </c>
      <c r="K8" s="1" t="s">
        <v>12</v>
      </c>
      <c r="L8" s="1">
        <f t="shared" si="1"/>
        <v>505</v>
      </c>
      <c r="M8" s="4">
        <f t="shared" si="2"/>
        <v>17875</v>
      </c>
      <c r="N8" s="15">
        <f t="shared" si="3"/>
        <v>464750</v>
      </c>
      <c r="O8" s="15">
        <f t="shared" si="4"/>
        <v>1358500</v>
      </c>
      <c r="P8" s="15">
        <f t="shared" si="5"/>
        <v>6417125</v>
      </c>
      <c r="Q8" s="15">
        <f t="shared" si="6"/>
        <v>786500</v>
      </c>
      <c r="R8" s="15">
        <f t="shared" ref="R8:R11" si="8">L8*M8</f>
        <v>9026875</v>
      </c>
      <c r="S8" s="15">
        <f t="shared" si="7"/>
        <v>10832250</v>
      </c>
    </row>
    <row r="9" spans="1:19" outlineLevel="1" x14ac:dyDescent="0.3">
      <c r="A9" s="8" t="s">
        <v>18</v>
      </c>
      <c r="B9" s="22">
        <f t="shared" si="0"/>
        <v>0.77083333333333337</v>
      </c>
      <c r="C9" s="34">
        <v>2</v>
      </c>
      <c r="D9" s="34">
        <v>10</v>
      </c>
      <c r="E9" s="34">
        <v>5</v>
      </c>
      <c r="F9" s="34">
        <v>5</v>
      </c>
      <c r="G9" s="34">
        <v>15</v>
      </c>
      <c r="H9" s="34">
        <v>0</v>
      </c>
      <c r="J9" s="1" t="s">
        <v>8</v>
      </c>
      <c r="K9" s="1" t="s">
        <v>14</v>
      </c>
      <c r="L9" s="1">
        <f t="shared" si="1"/>
        <v>426</v>
      </c>
      <c r="M9" s="4">
        <f t="shared" si="2"/>
        <v>11375</v>
      </c>
      <c r="N9" s="15">
        <f t="shared" si="3"/>
        <v>398125</v>
      </c>
      <c r="O9" s="15">
        <f t="shared" si="4"/>
        <v>364000</v>
      </c>
      <c r="P9" s="15">
        <f t="shared" si="5"/>
        <v>1990625</v>
      </c>
      <c r="Q9" s="15">
        <f t="shared" si="6"/>
        <v>2093000</v>
      </c>
      <c r="R9" s="15">
        <f t="shared" si="8"/>
        <v>4845750</v>
      </c>
      <c r="S9" s="15">
        <f t="shared" si="7"/>
        <v>5814900</v>
      </c>
    </row>
    <row r="10" spans="1:19" outlineLevel="1" x14ac:dyDescent="0.3">
      <c r="A10" s="8" t="s">
        <v>19</v>
      </c>
      <c r="B10" s="22">
        <f t="shared" si="0"/>
        <v>0.47916666666666669</v>
      </c>
      <c r="C10" s="34">
        <v>2</v>
      </c>
      <c r="D10" s="34">
        <v>7</v>
      </c>
      <c r="E10" s="34">
        <v>2</v>
      </c>
      <c r="F10" s="34">
        <v>2</v>
      </c>
      <c r="G10" s="34">
        <v>10</v>
      </c>
      <c r="H10" s="34">
        <v>0</v>
      </c>
      <c r="J10" s="1" t="s">
        <v>15</v>
      </c>
      <c r="K10" s="1" t="s">
        <v>14</v>
      </c>
      <c r="L10" s="1">
        <f t="shared" si="1"/>
        <v>327</v>
      </c>
      <c r="M10" s="4">
        <f t="shared" si="2"/>
        <v>13812.5</v>
      </c>
      <c r="N10" s="15">
        <f t="shared" si="3"/>
        <v>1201687.5</v>
      </c>
      <c r="O10" s="15">
        <f t="shared" si="4"/>
        <v>732062.5</v>
      </c>
      <c r="P10" s="15">
        <f t="shared" si="5"/>
        <v>1326000</v>
      </c>
      <c r="Q10" s="15">
        <f t="shared" si="6"/>
        <v>1256937.5</v>
      </c>
      <c r="R10" s="15">
        <f t="shared" si="8"/>
        <v>4516687.5</v>
      </c>
      <c r="S10" s="15">
        <f t="shared" si="7"/>
        <v>5420025</v>
      </c>
    </row>
    <row r="11" spans="1:19" outlineLevel="1" x14ac:dyDescent="0.3">
      <c r="A11" s="8" t="s">
        <v>20</v>
      </c>
      <c r="B11" s="22">
        <f t="shared" si="0"/>
        <v>0.58333333333333337</v>
      </c>
      <c r="C11" s="34">
        <v>3</v>
      </c>
      <c r="D11" s="34">
        <v>7</v>
      </c>
      <c r="E11" s="34">
        <v>3</v>
      </c>
      <c r="F11" s="34">
        <v>3</v>
      </c>
      <c r="G11" s="34">
        <v>12</v>
      </c>
      <c r="H11" s="34">
        <v>0</v>
      </c>
      <c r="J11" s="1" t="s">
        <v>9</v>
      </c>
      <c r="K11" s="1" t="s">
        <v>13</v>
      </c>
      <c r="L11" s="1">
        <f t="shared" si="1"/>
        <v>156</v>
      </c>
      <c r="M11" s="4">
        <f t="shared" si="2"/>
        <v>9750</v>
      </c>
      <c r="N11" s="15">
        <f t="shared" si="3"/>
        <v>360750</v>
      </c>
      <c r="O11" s="15">
        <f t="shared" si="4"/>
        <v>58500</v>
      </c>
      <c r="P11" s="15">
        <f t="shared" si="5"/>
        <v>975000</v>
      </c>
      <c r="Q11" s="15">
        <f t="shared" si="6"/>
        <v>126750</v>
      </c>
      <c r="R11" s="15">
        <f t="shared" si="8"/>
        <v>1521000</v>
      </c>
      <c r="S11" s="15">
        <f t="shared" si="7"/>
        <v>1825200</v>
      </c>
    </row>
    <row r="12" spans="1:19" outlineLevel="1" x14ac:dyDescent="0.3">
      <c r="A12" s="8" t="s">
        <v>21</v>
      </c>
      <c r="B12" s="22">
        <f t="shared" si="0"/>
        <v>1.1041666666666667</v>
      </c>
      <c r="C12" s="34">
        <v>3</v>
      </c>
      <c r="D12" s="34">
        <v>10</v>
      </c>
      <c r="E12" s="34">
        <v>0</v>
      </c>
      <c r="F12" s="34">
        <v>5</v>
      </c>
      <c r="G12" s="34">
        <v>5</v>
      </c>
      <c r="H12" s="34">
        <v>30</v>
      </c>
      <c r="J12" s="13" t="s">
        <v>76</v>
      </c>
      <c r="K12" s="13"/>
      <c r="L12" s="14">
        <f>SUM(L6:L11)</f>
        <v>2189</v>
      </c>
      <c r="M12" s="14"/>
      <c r="N12" s="16">
        <f t="shared" ref="N12:S12" si="9">SUM(N6:N11)</f>
        <v>4440312.5</v>
      </c>
      <c r="O12" s="16">
        <f t="shared" si="9"/>
        <v>3845562.5</v>
      </c>
      <c r="P12" s="16">
        <f t="shared" si="9"/>
        <v>17598750</v>
      </c>
      <c r="Q12" s="16">
        <f t="shared" si="9"/>
        <v>5782562.5</v>
      </c>
      <c r="R12" s="16">
        <f t="shared" si="9"/>
        <v>31667187.5</v>
      </c>
      <c r="S12" s="16">
        <f t="shared" si="9"/>
        <v>38000625</v>
      </c>
    </row>
    <row r="13" spans="1:19" outlineLevel="1" x14ac:dyDescent="0.3">
      <c r="A13" s="8" t="s">
        <v>22</v>
      </c>
      <c r="B13" s="22">
        <f t="shared" si="0"/>
        <v>0.4375</v>
      </c>
      <c r="C13" s="34">
        <v>12</v>
      </c>
      <c r="D13" s="34">
        <v>3</v>
      </c>
      <c r="E13" s="34">
        <v>0</v>
      </c>
      <c r="F13" s="34">
        <v>3</v>
      </c>
      <c r="G13" s="34">
        <v>3</v>
      </c>
      <c r="H13" s="34">
        <v>0</v>
      </c>
    </row>
    <row r="14" spans="1:19" outlineLevel="1" x14ac:dyDescent="0.3">
      <c r="A14" s="8" t="s">
        <v>42</v>
      </c>
      <c r="B14" s="22">
        <f t="shared" si="0"/>
        <v>0.5</v>
      </c>
      <c r="C14" s="34">
        <v>12</v>
      </c>
      <c r="D14" s="34">
        <v>3</v>
      </c>
      <c r="E14" s="34">
        <v>3</v>
      </c>
      <c r="F14" s="34">
        <v>3</v>
      </c>
      <c r="G14" s="34">
        <v>3</v>
      </c>
      <c r="H14" s="34">
        <v>0</v>
      </c>
      <c r="J14" s="13" t="s">
        <v>77</v>
      </c>
      <c r="K14" s="13" t="s">
        <v>78</v>
      </c>
      <c r="L14" s="13" t="s">
        <v>94</v>
      </c>
    </row>
    <row r="15" spans="1:19" outlineLevel="1" x14ac:dyDescent="0.3">
      <c r="A15" s="8" t="s">
        <v>23</v>
      </c>
      <c r="B15" s="22">
        <f t="shared" si="0"/>
        <v>0.47916666666666669</v>
      </c>
      <c r="C15" s="34">
        <v>7</v>
      </c>
      <c r="D15" s="34">
        <v>5</v>
      </c>
      <c r="E15" s="34">
        <v>3</v>
      </c>
      <c r="F15" s="34">
        <v>3</v>
      </c>
      <c r="G15" s="34">
        <v>5</v>
      </c>
      <c r="H15" s="34">
        <v>0</v>
      </c>
      <c r="J15" s="15">
        <v>40866</v>
      </c>
      <c r="K15" s="1">
        <v>1</v>
      </c>
      <c r="L15" s="15">
        <f>J15*K15</f>
        <v>40866</v>
      </c>
      <c r="S15" s="21"/>
    </row>
    <row r="16" spans="1:19" outlineLevel="1" x14ac:dyDescent="0.3">
      <c r="A16" s="8" t="s">
        <v>24</v>
      </c>
      <c r="B16" s="22">
        <f t="shared" si="0"/>
        <v>0.54166666666666663</v>
      </c>
      <c r="C16" s="34">
        <v>5</v>
      </c>
      <c r="D16" s="34">
        <v>5</v>
      </c>
      <c r="E16" s="34">
        <v>3</v>
      </c>
      <c r="F16" s="34">
        <v>5</v>
      </c>
      <c r="G16" s="34">
        <v>5</v>
      </c>
      <c r="H16" s="34">
        <v>3</v>
      </c>
    </row>
    <row r="17" spans="1:19" outlineLevel="1" x14ac:dyDescent="0.3">
      <c r="A17" s="9"/>
      <c r="B17" s="23">
        <f>SUM(B6:B16)</f>
        <v>6.8333333333333339</v>
      </c>
      <c r="C17" s="11"/>
      <c r="D17" s="11"/>
      <c r="E17" s="11"/>
      <c r="F17" s="11"/>
      <c r="G17" s="11"/>
      <c r="H17" s="11"/>
      <c r="I17" s="12"/>
    </row>
    <row r="18" spans="1:19" ht="14.4" customHeight="1" x14ac:dyDescent="0.3">
      <c r="A18" s="17" t="s">
        <v>37</v>
      </c>
      <c r="B18" s="17"/>
      <c r="C18" s="18" t="s">
        <v>5</v>
      </c>
      <c r="D18" s="18" t="s">
        <v>6</v>
      </c>
      <c r="E18" s="18" t="s">
        <v>7</v>
      </c>
      <c r="F18" s="18" t="s">
        <v>8</v>
      </c>
      <c r="G18" s="18" t="s">
        <v>40</v>
      </c>
      <c r="H18" s="18" t="s">
        <v>9</v>
      </c>
      <c r="J18" s="13" t="s">
        <v>3</v>
      </c>
      <c r="K18" s="13" t="s">
        <v>4</v>
      </c>
      <c r="L18" s="13" t="s">
        <v>79</v>
      </c>
      <c r="M18" s="13" t="s">
        <v>81</v>
      </c>
      <c r="N18" s="13" t="s">
        <v>80</v>
      </c>
      <c r="O18" s="13" t="s">
        <v>82</v>
      </c>
      <c r="P18" s="13" t="s">
        <v>10</v>
      </c>
      <c r="Q18" s="13" t="s">
        <v>106</v>
      </c>
      <c r="R18" s="13" t="s">
        <v>107</v>
      </c>
      <c r="S18" s="20" t="s">
        <v>108</v>
      </c>
    </row>
    <row r="19" spans="1:19" outlineLevel="1" x14ac:dyDescent="0.3">
      <c r="A19" s="8" t="s">
        <v>25</v>
      </c>
      <c r="B19" s="22">
        <f>SUM(C19:H19)/8/6</f>
        <v>0.66666666666666663</v>
      </c>
      <c r="C19" s="34">
        <v>3</v>
      </c>
      <c r="D19" s="34">
        <v>7</v>
      </c>
      <c r="E19" s="34">
        <v>3</v>
      </c>
      <c r="F19" s="34">
        <v>3</v>
      </c>
      <c r="G19" s="34">
        <v>16</v>
      </c>
      <c r="H19" s="34">
        <v>0</v>
      </c>
      <c r="J19" s="1" t="s">
        <v>5</v>
      </c>
      <c r="K19" s="1" t="s">
        <v>12</v>
      </c>
      <c r="L19" s="5">
        <f>SUM(C6:C16)</f>
        <v>76</v>
      </c>
      <c r="M19" s="5">
        <f>SUM(C19:C26)</f>
        <v>56</v>
      </c>
      <c r="N19" s="5">
        <f>SUM(C29:C46)</f>
        <v>24</v>
      </c>
      <c r="O19" s="5">
        <f>SUM(C49:C60)</f>
        <v>50</v>
      </c>
      <c r="P19" s="24">
        <f>SUM(L19:O19)</f>
        <v>206</v>
      </c>
      <c r="Q19" s="31">
        <f>P19*$K$15</f>
        <v>206</v>
      </c>
      <c r="R19" s="32">
        <f>P19*$L$15</f>
        <v>8418396</v>
      </c>
      <c r="S19" s="33">
        <f>P19/4</f>
        <v>51.5</v>
      </c>
    </row>
    <row r="20" spans="1:19" outlineLevel="1" x14ac:dyDescent="0.3">
      <c r="A20" s="8" t="s">
        <v>26</v>
      </c>
      <c r="B20" s="22">
        <f t="shared" ref="B20:B26" si="10">SUM(C20:H20)/8/6</f>
        <v>1.0416666666666667</v>
      </c>
      <c r="C20" s="34">
        <v>7</v>
      </c>
      <c r="D20" s="34">
        <v>17</v>
      </c>
      <c r="E20" s="34">
        <v>17</v>
      </c>
      <c r="F20" s="34">
        <v>3</v>
      </c>
      <c r="G20" s="34">
        <v>3</v>
      </c>
      <c r="H20" s="34">
        <v>3</v>
      </c>
      <c r="J20" s="1" t="s">
        <v>6</v>
      </c>
      <c r="K20" s="5" t="s">
        <v>13</v>
      </c>
      <c r="L20" s="5">
        <f>SUM(D6:D16)</f>
        <v>67</v>
      </c>
      <c r="M20" s="5">
        <f>SUM(D19:D26)</f>
        <v>40</v>
      </c>
      <c r="N20" s="5">
        <f>SUM(D29:D46)</f>
        <v>406</v>
      </c>
      <c r="O20" s="5">
        <f>SUM(D49:D60)</f>
        <v>56</v>
      </c>
      <c r="P20" s="24">
        <f t="shared" ref="P20:P24" si="11">SUM(L20:O20)</f>
        <v>569</v>
      </c>
      <c r="Q20" s="31">
        <f t="shared" ref="Q20:Q25" si="12">P20*$K$15</f>
        <v>569</v>
      </c>
      <c r="R20" s="32">
        <f t="shared" ref="R20:R25" si="13">P20*$L$15</f>
        <v>23252754</v>
      </c>
      <c r="S20" s="33">
        <f t="shared" ref="S20:S24" si="14">P20/4</f>
        <v>142.25</v>
      </c>
    </row>
    <row r="21" spans="1:19" outlineLevel="1" x14ac:dyDescent="0.3">
      <c r="A21" s="8" t="s">
        <v>27</v>
      </c>
      <c r="B21" s="22">
        <f t="shared" si="10"/>
        <v>0.79166666666666663</v>
      </c>
      <c r="C21" s="34">
        <v>3</v>
      </c>
      <c r="D21" s="34">
        <v>3</v>
      </c>
      <c r="E21" s="34">
        <v>26</v>
      </c>
      <c r="F21" s="34">
        <v>3</v>
      </c>
      <c r="G21" s="34">
        <v>3</v>
      </c>
      <c r="H21" s="34">
        <v>0</v>
      </c>
      <c r="J21" s="1" t="s">
        <v>7</v>
      </c>
      <c r="K21" s="1" t="s">
        <v>12</v>
      </c>
      <c r="L21" s="5">
        <f>SUM(E6:E16)</f>
        <v>26</v>
      </c>
      <c r="M21" s="5">
        <f>SUM(E19:E26)</f>
        <v>76</v>
      </c>
      <c r="N21" s="5">
        <f>SUM(E29:E46)</f>
        <v>359</v>
      </c>
      <c r="O21" s="5">
        <f>SUM(E49:E60)</f>
        <v>44</v>
      </c>
      <c r="P21" s="24">
        <f t="shared" si="11"/>
        <v>505</v>
      </c>
      <c r="Q21" s="31">
        <f t="shared" si="12"/>
        <v>505</v>
      </c>
      <c r="R21" s="32">
        <f t="shared" si="13"/>
        <v>20637330</v>
      </c>
      <c r="S21" s="33">
        <f t="shared" si="14"/>
        <v>126.25</v>
      </c>
    </row>
    <row r="22" spans="1:19" outlineLevel="1" x14ac:dyDescent="0.3">
      <c r="A22" s="8" t="s">
        <v>28</v>
      </c>
      <c r="B22" s="22">
        <f t="shared" si="10"/>
        <v>0.75</v>
      </c>
      <c r="C22" s="34">
        <v>3</v>
      </c>
      <c r="D22" s="34">
        <v>3</v>
      </c>
      <c r="E22" s="34">
        <v>20</v>
      </c>
      <c r="F22" s="34">
        <v>3</v>
      </c>
      <c r="G22" s="34">
        <v>7</v>
      </c>
      <c r="H22" s="34">
        <v>0</v>
      </c>
      <c r="J22" s="1" t="s">
        <v>8</v>
      </c>
      <c r="K22" s="1" t="s">
        <v>14</v>
      </c>
      <c r="L22" s="5">
        <f>SUM(F6:F16)</f>
        <v>35</v>
      </c>
      <c r="M22" s="5">
        <f>SUM(F19:F26)</f>
        <v>32</v>
      </c>
      <c r="N22" s="5">
        <f>SUM(F29:F46)</f>
        <v>175</v>
      </c>
      <c r="O22" s="5">
        <f>SUM(F49:F60)</f>
        <v>184</v>
      </c>
      <c r="P22" s="24">
        <f t="shared" si="11"/>
        <v>426</v>
      </c>
      <c r="Q22" s="31">
        <f t="shared" si="12"/>
        <v>426</v>
      </c>
      <c r="R22" s="32">
        <f t="shared" si="13"/>
        <v>17408916</v>
      </c>
      <c r="S22" s="33">
        <f t="shared" si="14"/>
        <v>106.5</v>
      </c>
    </row>
    <row r="23" spans="1:19" outlineLevel="1" x14ac:dyDescent="0.3">
      <c r="A23" s="8" t="s">
        <v>29</v>
      </c>
      <c r="B23" s="22">
        <f t="shared" si="10"/>
        <v>0.54166666666666663</v>
      </c>
      <c r="C23" s="34">
        <v>13</v>
      </c>
      <c r="D23" s="34">
        <v>3</v>
      </c>
      <c r="E23" s="34">
        <v>0</v>
      </c>
      <c r="F23" s="34">
        <v>3</v>
      </c>
      <c r="G23" s="34">
        <v>7</v>
      </c>
      <c r="H23" s="34">
        <v>0</v>
      </c>
      <c r="J23" s="1" t="s">
        <v>15</v>
      </c>
      <c r="K23" s="1" t="s">
        <v>14</v>
      </c>
      <c r="L23" s="5">
        <f>SUM(G6:G16)</f>
        <v>87</v>
      </c>
      <c r="M23" s="5">
        <f>SUM(G19:G26)</f>
        <v>53</v>
      </c>
      <c r="N23" s="5">
        <f>SUM(G29:G46)</f>
        <v>96</v>
      </c>
      <c r="O23" s="5">
        <f>SUM(G49:G60)</f>
        <v>91</v>
      </c>
      <c r="P23" s="24">
        <f t="shared" si="11"/>
        <v>327</v>
      </c>
      <c r="Q23" s="31">
        <f t="shared" si="12"/>
        <v>327</v>
      </c>
      <c r="R23" s="32">
        <f t="shared" si="13"/>
        <v>13363182</v>
      </c>
      <c r="S23" s="33">
        <f t="shared" si="14"/>
        <v>81.75</v>
      </c>
    </row>
    <row r="24" spans="1:19" outlineLevel="1" x14ac:dyDescent="0.3">
      <c r="A24" s="8" t="s">
        <v>30</v>
      </c>
      <c r="B24" s="22">
        <f t="shared" si="10"/>
        <v>0.5625</v>
      </c>
      <c r="C24" s="34">
        <v>10</v>
      </c>
      <c r="D24" s="34">
        <v>0</v>
      </c>
      <c r="E24" s="34">
        <v>3</v>
      </c>
      <c r="F24" s="34">
        <v>7</v>
      </c>
      <c r="G24" s="34">
        <v>7</v>
      </c>
      <c r="H24" s="34">
        <v>0</v>
      </c>
      <c r="J24" s="1" t="s">
        <v>9</v>
      </c>
      <c r="K24" s="1" t="s">
        <v>13</v>
      </c>
      <c r="L24" s="1">
        <f>SUM(H6:H16)</f>
        <v>37</v>
      </c>
      <c r="M24" s="1">
        <f>SUM(H19:H26)</f>
        <v>6</v>
      </c>
      <c r="N24" s="1">
        <f>SUM(H29:H46)</f>
        <v>100</v>
      </c>
      <c r="O24" s="1">
        <f>SUM(H49:H60)</f>
        <v>13</v>
      </c>
      <c r="P24" s="24">
        <f t="shared" si="11"/>
        <v>156</v>
      </c>
      <c r="Q24" s="31">
        <f t="shared" si="12"/>
        <v>156</v>
      </c>
      <c r="R24" s="32">
        <f t="shared" si="13"/>
        <v>6375096</v>
      </c>
      <c r="S24" s="33">
        <f t="shared" si="14"/>
        <v>39</v>
      </c>
    </row>
    <row r="25" spans="1:19" outlineLevel="1" x14ac:dyDescent="0.3">
      <c r="A25" s="8" t="s">
        <v>31</v>
      </c>
      <c r="B25" s="22">
        <f t="shared" si="10"/>
        <v>0.41666666666666669</v>
      </c>
      <c r="C25" s="34">
        <v>10</v>
      </c>
      <c r="D25" s="34">
        <v>0</v>
      </c>
      <c r="E25" s="34">
        <v>0</v>
      </c>
      <c r="F25" s="34">
        <v>3</v>
      </c>
      <c r="G25" s="34">
        <v>7</v>
      </c>
      <c r="H25" s="34">
        <v>0</v>
      </c>
      <c r="L25" s="10">
        <f>SUM(L19:L24)</f>
        <v>328</v>
      </c>
      <c r="M25" s="10">
        <f t="shared" ref="M25:O25" si="15">SUM(M19:M24)</f>
        <v>263</v>
      </c>
      <c r="N25" s="10">
        <f t="shared" si="15"/>
        <v>1160</v>
      </c>
      <c r="O25" s="10">
        <f t="shared" si="15"/>
        <v>438</v>
      </c>
      <c r="P25" s="10">
        <f>SUM(L25:O25)</f>
        <v>2189</v>
      </c>
      <c r="Q25" s="31">
        <f t="shared" si="12"/>
        <v>2189</v>
      </c>
      <c r="R25" s="32">
        <f t="shared" si="13"/>
        <v>89455674</v>
      </c>
      <c r="S25" s="33">
        <f>SUM(S19:S24)/6</f>
        <v>91.208333333333329</v>
      </c>
    </row>
    <row r="26" spans="1:19" outlineLevel="1" x14ac:dyDescent="0.3">
      <c r="A26" s="8" t="s">
        <v>43</v>
      </c>
      <c r="B26" s="22">
        <f t="shared" si="10"/>
        <v>0.70833333333333337</v>
      </c>
      <c r="C26" s="34">
        <v>7</v>
      </c>
      <c r="D26" s="34">
        <v>7</v>
      </c>
      <c r="E26" s="34">
        <v>7</v>
      </c>
      <c r="F26" s="34">
        <v>7</v>
      </c>
      <c r="G26" s="34">
        <v>3</v>
      </c>
      <c r="H26" s="34">
        <v>3</v>
      </c>
    </row>
    <row r="27" spans="1:19" outlineLevel="1" x14ac:dyDescent="0.3">
      <c r="A27" s="9"/>
      <c r="B27" s="23">
        <f>SUM(B19:B26)</f>
        <v>5.4791666666666661</v>
      </c>
      <c r="C27" s="11"/>
      <c r="D27" s="11"/>
      <c r="E27" s="11"/>
      <c r="F27" s="11"/>
      <c r="G27" s="11"/>
      <c r="H27" s="11"/>
      <c r="I27" s="12"/>
      <c r="J27" s="19" t="s">
        <v>104</v>
      </c>
      <c r="K27" s="4">
        <f>R12</f>
        <v>31667187.5</v>
      </c>
    </row>
    <row r="28" spans="1:19" ht="14.4" customHeight="1" x14ac:dyDescent="0.3">
      <c r="A28" s="17" t="s">
        <v>38</v>
      </c>
      <c r="B28" s="17"/>
      <c r="C28" s="18" t="s">
        <v>5</v>
      </c>
      <c r="D28" s="18" t="s">
        <v>6</v>
      </c>
      <c r="E28" s="18" t="s">
        <v>7</v>
      </c>
      <c r="F28" s="18" t="s">
        <v>8</v>
      </c>
      <c r="G28" s="18" t="s">
        <v>40</v>
      </c>
      <c r="H28" s="18" t="s">
        <v>9</v>
      </c>
    </row>
    <row r="29" spans="1:19" ht="14.4" customHeight="1" outlineLevel="1" x14ac:dyDescent="0.3">
      <c r="A29" s="8" t="s">
        <v>32</v>
      </c>
      <c r="B29" s="22">
        <f>SUM(C29:H29)/8/6</f>
        <v>0.83333333333333337</v>
      </c>
      <c r="C29" s="34">
        <v>4</v>
      </c>
      <c r="D29" s="34">
        <v>16</v>
      </c>
      <c r="E29" s="34">
        <v>12</v>
      </c>
      <c r="F29" s="34">
        <v>4</v>
      </c>
      <c r="G29" s="34">
        <v>0</v>
      </c>
      <c r="H29" s="34">
        <v>4</v>
      </c>
      <c r="J29" s="19" t="s">
        <v>103</v>
      </c>
      <c r="K29" s="4">
        <f>K27*0.2</f>
        <v>6333437.5</v>
      </c>
    </row>
    <row r="30" spans="1:19" ht="14.4" customHeight="1" outlineLevel="1" x14ac:dyDescent="0.3">
      <c r="A30" s="8" t="s">
        <v>44</v>
      </c>
      <c r="B30" s="22">
        <f t="shared" ref="B30:B46" si="16">SUM(C30:H30)/8/6</f>
        <v>1.2291666666666667</v>
      </c>
      <c r="C30" s="34">
        <v>0</v>
      </c>
      <c r="D30" s="34">
        <v>8</v>
      </c>
      <c r="E30" s="34">
        <v>43</v>
      </c>
      <c r="F30" s="34">
        <v>4</v>
      </c>
      <c r="G30" s="34">
        <v>4</v>
      </c>
      <c r="H30" s="34">
        <v>0</v>
      </c>
      <c r="K30" s="4"/>
    </row>
    <row r="31" spans="1:19" ht="14.4" customHeight="1" outlineLevel="1" x14ac:dyDescent="0.3">
      <c r="A31" s="8" t="s">
        <v>46</v>
      </c>
      <c r="B31" s="22">
        <f t="shared" si="16"/>
        <v>1.3958333333333333</v>
      </c>
      <c r="C31" s="34">
        <v>0</v>
      </c>
      <c r="D31" s="34">
        <v>16</v>
      </c>
      <c r="E31" s="34">
        <v>43</v>
      </c>
      <c r="F31" s="34">
        <v>4</v>
      </c>
      <c r="G31" s="34">
        <v>4</v>
      </c>
      <c r="H31" s="34">
        <v>0</v>
      </c>
      <c r="K31" s="4">
        <f>SUM(K27:K29)</f>
        <v>38000625</v>
      </c>
      <c r="N31" s="21"/>
    </row>
    <row r="32" spans="1:19" ht="14.4" customHeight="1" outlineLevel="1" x14ac:dyDescent="0.3">
      <c r="A32" s="8" t="s">
        <v>33</v>
      </c>
      <c r="B32" s="22">
        <f t="shared" si="16"/>
        <v>1.3958333333333333</v>
      </c>
      <c r="C32" s="34">
        <v>0</v>
      </c>
      <c r="D32" s="34">
        <v>20</v>
      </c>
      <c r="E32" s="34">
        <v>35</v>
      </c>
      <c r="F32" s="34">
        <v>8</v>
      </c>
      <c r="G32" s="34">
        <v>4</v>
      </c>
      <c r="H32" s="34">
        <v>0</v>
      </c>
    </row>
    <row r="33" spans="1:17" ht="14.4" customHeight="1" outlineLevel="1" x14ac:dyDescent="0.3">
      <c r="A33" s="8" t="s">
        <v>45</v>
      </c>
      <c r="B33" s="22">
        <f t="shared" si="16"/>
        <v>1.625</v>
      </c>
      <c r="C33" s="34">
        <v>0</v>
      </c>
      <c r="D33" s="34">
        <v>31</v>
      </c>
      <c r="E33" s="34">
        <v>23</v>
      </c>
      <c r="F33" s="34">
        <v>8</v>
      </c>
      <c r="G33" s="34">
        <v>8</v>
      </c>
      <c r="H33" s="34">
        <v>8</v>
      </c>
    </row>
    <row r="34" spans="1:17" ht="14.4" customHeight="1" outlineLevel="1" x14ac:dyDescent="0.3">
      <c r="A34" s="8" t="s">
        <v>47</v>
      </c>
      <c r="B34" s="22">
        <f t="shared" si="16"/>
        <v>1.7291666666666667</v>
      </c>
      <c r="C34" s="34">
        <v>0</v>
      </c>
      <c r="D34" s="34">
        <v>35</v>
      </c>
      <c r="E34" s="34">
        <v>16</v>
      </c>
      <c r="F34" s="34">
        <v>12</v>
      </c>
      <c r="G34" s="34">
        <v>8</v>
      </c>
      <c r="H34" s="34">
        <v>12</v>
      </c>
      <c r="J34" s="13" t="s">
        <v>3</v>
      </c>
      <c r="K34" s="13" t="s">
        <v>4</v>
      </c>
      <c r="L34" s="13" t="s">
        <v>83</v>
      </c>
      <c r="M34" s="25" t="s">
        <v>84</v>
      </c>
      <c r="N34" s="13" t="s">
        <v>86</v>
      </c>
      <c r="P34" s="13" t="s">
        <v>87</v>
      </c>
      <c r="Q34" s="13" t="s">
        <v>88</v>
      </c>
    </row>
    <row r="35" spans="1:17" ht="14.4" customHeight="1" outlineLevel="1" x14ac:dyDescent="0.3">
      <c r="A35" s="8" t="s">
        <v>48</v>
      </c>
      <c r="B35" s="22">
        <f t="shared" si="16"/>
        <v>1.4791666666666667</v>
      </c>
      <c r="C35" s="34">
        <v>0</v>
      </c>
      <c r="D35" s="34">
        <v>31</v>
      </c>
      <c r="E35" s="34">
        <v>12</v>
      </c>
      <c r="F35" s="34">
        <v>12</v>
      </c>
      <c r="G35" s="34">
        <v>8</v>
      </c>
      <c r="H35" s="34">
        <v>8</v>
      </c>
      <c r="J35" s="1" t="s">
        <v>5</v>
      </c>
      <c r="K35" s="1" t="s">
        <v>12</v>
      </c>
      <c r="L35" s="4">
        <v>1500000</v>
      </c>
      <c r="M35" s="26">
        <f>L35*1.3</f>
        <v>1950000</v>
      </c>
      <c r="N35" s="4">
        <f>M35*4</f>
        <v>7800000</v>
      </c>
      <c r="P35" s="4">
        <f>M6</f>
        <v>12187.5</v>
      </c>
      <c r="Q35" s="4">
        <f>P35*40</f>
        <v>487500</v>
      </c>
    </row>
    <row r="36" spans="1:17" ht="14.4" customHeight="1" outlineLevel="1" x14ac:dyDescent="0.3">
      <c r="A36" s="8" t="s">
        <v>49</v>
      </c>
      <c r="B36" s="22">
        <f t="shared" si="16"/>
        <v>1.8958333333333333</v>
      </c>
      <c r="C36" s="34">
        <v>0</v>
      </c>
      <c r="D36" s="34">
        <v>39</v>
      </c>
      <c r="E36" s="34">
        <v>20</v>
      </c>
      <c r="F36" s="34">
        <v>12</v>
      </c>
      <c r="G36" s="34">
        <v>8</v>
      </c>
      <c r="H36" s="34">
        <v>12</v>
      </c>
      <c r="J36" s="1" t="s">
        <v>109</v>
      </c>
      <c r="K36" s="5" t="s">
        <v>13</v>
      </c>
      <c r="L36" s="4">
        <v>2000000</v>
      </c>
      <c r="M36" s="26">
        <f>L36*1.3</f>
        <v>2600000</v>
      </c>
      <c r="N36" s="4">
        <f t="shared" ref="N36:N40" si="17">M36*4</f>
        <v>10400000</v>
      </c>
      <c r="P36" s="4">
        <f t="shared" ref="P36:P40" si="18">M7</f>
        <v>16250</v>
      </c>
      <c r="Q36" s="4">
        <f t="shared" ref="Q36:Q40" si="19">P36*40</f>
        <v>650000</v>
      </c>
    </row>
    <row r="37" spans="1:17" ht="14.4" customHeight="1" outlineLevel="1" x14ac:dyDescent="0.3">
      <c r="A37" s="8" t="s">
        <v>50</v>
      </c>
      <c r="B37" s="22">
        <f t="shared" si="16"/>
        <v>1.4791666666666667</v>
      </c>
      <c r="C37" s="34">
        <v>0</v>
      </c>
      <c r="D37" s="34">
        <v>31</v>
      </c>
      <c r="E37" s="34">
        <v>12</v>
      </c>
      <c r="F37" s="34">
        <v>12</v>
      </c>
      <c r="G37" s="34">
        <v>8</v>
      </c>
      <c r="H37" s="34">
        <v>8</v>
      </c>
      <c r="J37" s="1" t="s">
        <v>7</v>
      </c>
      <c r="K37" s="1" t="s">
        <v>12</v>
      </c>
      <c r="L37" s="4">
        <v>2200000</v>
      </c>
      <c r="M37" s="26">
        <f>L37*1.3</f>
        <v>2860000</v>
      </c>
      <c r="N37" s="4">
        <f t="shared" si="17"/>
        <v>11440000</v>
      </c>
      <c r="P37" s="4">
        <f t="shared" si="18"/>
        <v>17875</v>
      </c>
      <c r="Q37" s="4">
        <f t="shared" si="19"/>
        <v>715000</v>
      </c>
    </row>
    <row r="38" spans="1:17" ht="14.4" customHeight="1" outlineLevel="1" x14ac:dyDescent="0.3">
      <c r="A38" s="8" t="s">
        <v>51</v>
      </c>
      <c r="B38" s="22">
        <f t="shared" si="16"/>
        <v>1.5625</v>
      </c>
      <c r="C38" s="34">
        <v>0</v>
      </c>
      <c r="D38" s="34">
        <v>27</v>
      </c>
      <c r="E38" s="34">
        <v>16</v>
      </c>
      <c r="F38" s="34">
        <v>8</v>
      </c>
      <c r="G38" s="34">
        <v>8</v>
      </c>
      <c r="H38" s="34">
        <v>16</v>
      </c>
      <c r="J38" s="1" t="s">
        <v>8</v>
      </c>
      <c r="K38" s="1" t="s">
        <v>14</v>
      </c>
      <c r="L38" s="4">
        <v>1400000</v>
      </c>
      <c r="M38" s="26">
        <f t="shared" ref="M38:M40" si="20">L38*1.3</f>
        <v>1820000</v>
      </c>
      <c r="N38" s="4">
        <f t="shared" si="17"/>
        <v>7280000</v>
      </c>
      <c r="P38" s="4">
        <f t="shared" si="18"/>
        <v>11375</v>
      </c>
      <c r="Q38" s="4">
        <f t="shared" si="19"/>
        <v>455000</v>
      </c>
    </row>
    <row r="39" spans="1:17" ht="14.4" customHeight="1" outlineLevel="1" x14ac:dyDescent="0.3">
      <c r="A39" s="8" t="s">
        <v>57</v>
      </c>
      <c r="B39" s="22">
        <f t="shared" si="16"/>
        <v>1.1458333333333333</v>
      </c>
      <c r="C39" s="34">
        <v>0</v>
      </c>
      <c r="D39" s="34">
        <v>23</v>
      </c>
      <c r="E39" s="34">
        <v>12</v>
      </c>
      <c r="F39" s="34">
        <v>8</v>
      </c>
      <c r="G39" s="34">
        <v>4</v>
      </c>
      <c r="H39" s="34">
        <v>8</v>
      </c>
      <c r="J39" s="1" t="s">
        <v>15</v>
      </c>
      <c r="K39" s="1" t="s">
        <v>14</v>
      </c>
      <c r="L39" s="4">
        <v>1700000</v>
      </c>
      <c r="M39" s="26">
        <f t="shared" si="20"/>
        <v>2210000</v>
      </c>
      <c r="N39" s="4">
        <f t="shared" si="17"/>
        <v>8840000</v>
      </c>
      <c r="P39" s="4">
        <f t="shared" si="18"/>
        <v>13812.5</v>
      </c>
      <c r="Q39" s="4">
        <f t="shared" si="19"/>
        <v>552500</v>
      </c>
    </row>
    <row r="40" spans="1:17" ht="14.4" customHeight="1" outlineLevel="1" x14ac:dyDescent="0.3">
      <c r="A40" s="8" t="s">
        <v>52</v>
      </c>
      <c r="B40" s="22">
        <f t="shared" si="16"/>
        <v>1.8958333333333333</v>
      </c>
      <c r="C40" s="34">
        <v>4</v>
      </c>
      <c r="D40" s="34">
        <v>35</v>
      </c>
      <c r="E40" s="34">
        <v>20</v>
      </c>
      <c r="F40" s="34">
        <v>12</v>
      </c>
      <c r="G40" s="34">
        <v>8</v>
      </c>
      <c r="H40" s="34">
        <v>12</v>
      </c>
      <c r="J40" s="1" t="s">
        <v>9</v>
      </c>
      <c r="K40" s="1" t="s">
        <v>13</v>
      </c>
      <c r="L40" s="4">
        <v>1200000</v>
      </c>
      <c r="M40" s="26">
        <f t="shared" si="20"/>
        <v>1560000</v>
      </c>
      <c r="N40" s="4">
        <f t="shared" si="17"/>
        <v>6240000</v>
      </c>
      <c r="P40" s="4">
        <f t="shared" si="18"/>
        <v>9750</v>
      </c>
      <c r="Q40" s="4">
        <f t="shared" si="19"/>
        <v>390000</v>
      </c>
    </row>
    <row r="41" spans="1:17" ht="14.4" customHeight="1" outlineLevel="1" x14ac:dyDescent="0.3">
      <c r="A41" s="8" t="s">
        <v>53</v>
      </c>
      <c r="B41" s="22">
        <f t="shared" si="16"/>
        <v>0.91666666666666663</v>
      </c>
      <c r="C41" s="34">
        <v>0</v>
      </c>
      <c r="D41" s="34">
        <v>16</v>
      </c>
      <c r="E41" s="34">
        <v>16</v>
      </c>
      <c r="F41" s="34">
        <v>8</v>
      </c>
      <c r="G41" s="34">
        <v>4</v>
      </c>
      <c r="H41" s="34">
        <v>0</v>
      </c>
      <c r="L41" s="4">
        <f>SUM(L35:L40)</f>
        <v>10000000</v>
      </c>
      <c r="M41" s="4">
        <f>SUM(M35:M40)</f>
        <v>13000000</v>
      </c>
      <c r="N41" s="4">
        <f>SUM(N35:N40)</f>
        <v>52000000</v>
      </c>
    </row>
    <row r="42" spans="1:17" ht="14.4" customHeight="1" outlineLevel="1" x14ac:dyDescent="0.3">
      <c r="A42" s="8" t="s">
        <v>54</v>
      </c>
      <c r="B42" s="22">
        <f t="shared" si="16"/>
        <v>1.375</v>
      </c>
      <c r="C42" s="34">
        <v>0</v>
      </c>
      <c r="D42" s="34">
        <v>27</v>
      </c>
      <c r="E42" s="34">
        <v>23</v>
      </c>
      <c r="F42" s="34">
        <v>12</v>
      </c>
      <c r="G42" s="34">
        <v>4</v>
      </c>
      <c r="H42" s="34">
        <v>0</v>
      </c>
    </row>
    <row r="43" spans="1:17" ht="14.4" customHeight="1" outlineLevel="1" x14ac:dyDescent="0.3">
      <c r="A43" s="8" t="s">
        <v>34</v>
      </c>
      <c r="B43" s="22">
        <f t="shared" si="16"/>
        <v>1.0833333333333333</v>
      </c>
      <c r="C43" s="34">
        <v>0</v>
      </c>
      <c r="D43" s="34">
        <v>16</v>
      </c>
      <c r="E43" s="34">
        <v>8</v>
      </c>
      <c r="F43" s="34">
        <v>20</v>
      </c>
      <c r="G43" s="34">
        <v>4</v>
      </c>
      <c r="H43" s="34">
        <v>4</v>
      </c>
    </row>
    <row r="44" spans="1:17" ht="14.4" customHeight="1" outlineLevel="1" x14ac:dyDescent="0.3">
      <c r="A44" s="8" t="s">
        <v>35</v>
      </c>
      <c r="B44" s="22">
        <f t="shared" si="16"/>
        <v>1.625</v>
      </c>
      <c r="C44" s="34">
        <v>4</v>
      </c>
      <c r="D44" s="34">
        <v>27</v>
      </c>
      <c r="E44" s="34">
        <v>16</v>
      </c>
      <c r="F44" s="34">
        <v>23</v>
      </c>
      <c r="G44" s="34">
        <v>4</v>
      </c>
      <c r="H44" s="34">
        <v>4</v>
      </c>
    </row>
    <row r="45" spans="1:17" ht="14.4" customHeight="1" outlineLevel="1" x14ac:dyDescent="0.3">
      <c r="A45" s="8" t="s">
        <v>55</v>
      </c>
      <c r="B45" s="22">
        <f t="shared" si="16"/>
        <v>0.66666666666666663</v>
      </c>
      <c r="C45" s="34">
        <v>0</v>
      </c>
      <c r="D45" s="34">
        <v>0</v>
      </c>
      <c r="E45" s="34">
        <v>24</v>
      </c>
      <c r="F45" s="34">
        <v>4</v>
      </c>
      <c r="G45" s="34">
        <v>4</v>
      </c>
      <c r="H45" s="34">
        <v>0</v>
      </c>
    </row>
    <row r="46" spans="1:17" ht="14.4" customHeight="1" outlineLevel="1" x14ac:dyDescent="0.3">
      <c r="A46" s="8" t="s">
        <v>56</v>
      </c>
      <c r="B46" s="22">
        <f t="shared" si="16"/>
        <v>0.83333333333333337</v>
      </c>
      <c r="C46" s="34">
        <v>12</v>
      </c>
      <c r="D46" s="34">
        <v>8</v>
      </c>
      <c r="E46" s="34">
        <v>8</v>
      </c>
      <c r="F46" s="34">
        <v>4</v>
      </c>
      <c r="G46" s="34">
        <v>4</v>
      </c>
      <c r="H46" s="34">
        <v>4</v>
      </c>
      <c r="J46" s="16" t="s">
        <v>90</v>
      </c>
      <c r="K46" s="27">
        <f>S12/J15</f>
        <v>929.88364410512406</v>
      </c>
      <c r="L46" s="41" t="s">
        <v>96</v>
      </c>
      <c r="M46" s="41"/>
      <c r="N46" s="41"/>
    </row>
    <row r="47" spans="1:17" ht="14.4" customHeight="1" outlineLevel="1" x14ac:dyDescent="0.3">
      <c r="A47" s="9"/>
      <c r="B47" s="23">
        <f>SUM(B29:B46)</f>
        <v>24.166666666666664</v>
      </c>
      <c r="C47" s="11"/>
      <c r="D47" s="11"/>
      <c r="E47" s="11"/>
      <c r="F47" s="11"/>
      <c r="G47" s="11"/>
      <c r="H47" s="11"/>
      <c r="I47" s="12"/>
      <c r="J47" s="16" t="s">
        <v>92</v>
      </c>
      <c r="K47" s="15">
        <f>K46*J15</f>
        <v>38000625</v>
      </c>
      <c r="L47" s="41" t="s">
        <v>97</v>
      </c>
      <c r="M47" s="41"/>
      <c r="N47" s="41"/>
    </row>
    <row r="48" spans="1:17" ht="14.4" customHeight="1" x14ac:dyDescent="0.3">
      <c r="A48" s="17" t="s">
        <v>39</v>
      </c>
      <c r="B48" s="17"/>
      <c r="C48" s="18" t="s">
        <v>5</v>
      </c>
      <c r="D48" s="18" t="s">
        <v>6</v>
      </c>
      <c r="E48" s="18" t="s">
        <v>7</v>
      </c>
      <c r="F48" s="18" t="s">
        <v>8</v>
      </c>
      <c r="G48" s="18" t="s">
        <v>40</v>
      </c>
      <c r="H48" s="18" t="s">
        <v>9</v>
      </c>
      <c r="J48" s="35" t="s">
        <v>77</v>
      </c>
      <c r="K48" s="37">
        <f>L12*K15</f>
        <v>2189</v>
      </c>
      <c r="L48" s="42" t="s">
        <v>98</v>
      </c>
      <c r="M48" s="42"/>
      <c r="N48" s="42"/>
    </row>
    <row r="49" spans="1:14" x14ac:dyDescent="0.3">
      <c r="A49" s="8" t="s">
        <v>58</v>
      </c>
      <c r="B49" s="22">
        <f>SUM(C49:H49)/8/6</f>
        <v>0.9375</v>
      </c>
      <c r="C49" s="34">
        <v>3</v>
      </c>
      <c r="D49" s="34">
        <v>3</v>
      </c>
      <c r="E49" s="34">
        <v>3</v>
      </c>
      <c r="F49" s="34">
        <v>26</v>
      </c>
      <c r="G49" s="34">
        <v>10</v>
      </c>
      <c r="H49" s="34">
        <v>0</v>
      </c>
      <c r="J49" s="35" t="s">
        <v>93</v>
      </c>
      <c r="K49" s="36">
        <f>K48*L15</f>
        <v>89455674</v>
      </c>
      <c r="L49" s="42" t="s">
        <v>99</v>
      </c>
      <c r="M49" s="42"/>
      <c r="N49" s="42"/>
    </row>
    <row r="50" spans="1:14" x14ac:dyDescent="0.3">
      <c r="A50" s="8" t="s">
        <v>59</v>
      </c>
      <c r="B50" s="22">
        <f t="shared" ref="B50:B60" si="21">SUM(C50:H50)/8/6</f>
        <v>1.3333333333333333</v>
      </c>
      <c r="C50" s="34">
        <v>0</v>
      </c>
      <c r="D50" s="34">
        <v>13</v>
      </c>
      <c r="E50" s="34">
        <v>6</v>
      </c>
      <c r="F50" s="34">
        <v>39</v>
      </c>
      <c r="G50" s="34">
        <v>6</v>
      </c>
      <c r="H50" s="34">
        <v>0</v>
      </c>
      <c r="J50" s="16" t="s">
        <v>89</v>
      </c>
      <c r="K50" s="27">
        <f>K48-K46</f>
        <v>1259.1163558948761</v>
      </c>
      <c r="L50" s="30" t="s">
        <v>100</v>
      </c>
      <c r="M50" s="30"/>
      <c r="N50" s="30"/>
    </row>
    <row r="51" spans="1:14" x14ac:dyDescent="0.3">
      <c r="A51" s="8" t="s">
        <v>60</v>
      </c>
      <c r="B51" s="22">
        <f t="shared" si="21"/>
        <v>0.75</v>
      </c>
      <c r="C51" s="34">
        <v>0</v>
      </c>
      <c r="D51" s="34">
        <v>0</v>
      </c>
      <c r="E51" s="34">
        <v>13</v>
      </c>
      <c r="F51" s="34">
        <v>20</v>
      </c>
      <c r="G51" s="34">
        <v>3</v>
      </c>
      <c r="H51" s="34">
        <v>0</v>
      </c>
      <c r="J51" s="16" t="s">
        <v>91</v>
      </c>
      <c r="K51" s="15">
        <f>K50*L15</f>
        <v>51455049.000000007</v>
      </c>
      <c r="L51" s="30" t="s">
        <v>101</v>
      </c>
      <c r="M51" s="30"/>
      <c r="N51" s="30"/>
    </row>
    <row r="52" spans="1:14" x14ac:dyDescent="0.3">
      <c r="A52" s="8" t="s">
        <v>61</v>
      </c>
      <c r="B52" s="22">
        <f t="shared" si="21"/>
        <v>0.58333333333333337</v>
      </c>
      <c r="C52" s="34">
        <v>0</v>
      </c>
      <c r="D52" s="34">
        <v>0</v>
      </c>
      <c r="E52" s="34">
        <v>6</v>
      </c>
      <c r="F52" s="34">
        <v>16</v>
      </c>
      <c r="G52" s="34">
        <v>6</v>
      </c>
      <c r="H52" s="34">
        <v>0</v>
      </c>
      <c r="J52" s="16" t="s">
        <v>95</v>
      </c>
      <c r="K52" s="29">
        <f>(K50/K46)*100</f>
        <v>135.40579661518726</v>
      </c>
      <c r="L52" s="38" t="s">
        <v>102</v>
      </c>
      <c r="M52" s="39"/>
      <c r="N52" s="40"/>
    </row>
    <row r="53" spans="1:14" x14ac:dyDescent="0.3">
      <c r="A53" s="8" t="s">
        <v>62</v>
      </c>
      <c r="B53" s="22">
        <f t="shared" si="21"/>
        <v>0.54166666666666663</v>
      </c>
      <c r="C53" s="34">
        <v>0</v>
      </c>
      <c r="D53" s="34">
        <v>3</v>
      </c>
      <c r="E53" s="34">
        <v>0</v>
      </c>
      <c r="F53" s="34">
        <v>20</v>
      </c>
      <c r="G53" s="34">
        <v>3</v>
      </c>
      <c r="H53" s="34">
        <v>0</v>
      </c>
    </row>
    <row r="54" spans="1:14" x14ac:dyDescent="0.3">
      <c r="A54" s="8" t="s">
        <v>63</v>
      </c>
      <c r="B54" s="22">
        <f t="shared" si="21"/>
        <v>1.2291666666666667</v>
      </c>
      <c r="C54" s="34">
        <v>0</v>
      </c>
      <c r="D54" s="34">
        <v>20</v>
      </c>
      <c r="E54" s="34">
        <v>10</v>
      </c>
      <c r="F54" s="34">
        <v>26</v>
      </c>
      <c r="G54" s="34">
        <v>3</v>
      </c>
      <c r="H54" s="34">
        <v>0</v>
      </c>
    </row>
    <row r="55" spans="1:14" x14ac:dyDescent="0.3">
      <c r="A55" s="8" t="s">
        <v>64</v>
      </c>
      <c r="B55" s="22">
        <f t="shared" si="21"/>
        <v>0.75</v>
      </c>
      <c r="C55" s="34">
        <v>7</v>
      </c>
      <c r="D55" s="34">
        <v>3</v>
      </c>
      <c r="E55" s="34">
        <v>3</v>
      </c>
      <c r="F55" s="34">
        <v>10</v>
      </c>
      <c r="G55" s="34">
        <v>13</v>
      </c>
      <c r="H55" s="34">
        <v>0</v>
      </c>
    </row>
    <row r="56" spans="1:14" x14ac:dyDescent="0.3">
      <c r="A56" s="8" t="s">
        <v>65</v>
      </c>
      <c r="B56" s="22">
        <f t="shared" si="21"/>
        <v>0.625</v>
      </c>
      <c r="C56" s="34">
        <v>7</v>
      </c>
      <c r="D56" s="34">
        <v>0</v>
      </c>
      <c r="E56" s="34">
        <v>0</v>
      </c>
      <c r="F56" s="34">
        <v>7</v>
      </c>
      <c r="G56" s="34">
        <v>13</v>
      </c>
      <c r="H56" s="34">
        <v>3</v>
      </c>
      <c r="J56" s="16" t="s">
        <v>110</v>
      </c>
      <c r="K56" s="4">
        <f>K49+'Horas disponibles del equipo'!K49</f>
        <v>353090413.19999999</v>
      </c>
    </row>
    <row r="57" spans="1:14" x14ac:dyDescent="0.3">
      <c r="A57" s="8" t="s">
        <v>66</v>
      </c>
      <c r="B57" s="22">
        <f t="shared" si="21"/>
        <v>0.70833333333333337</v>
      </c>
      <c r="C57" s="34">
        <v>0</v>
      </c>
      <c r="D57" s="34">
        <v>7</v>
      </c>
      <c r="E57" s="34">
        <v>0</v>
      </c>
      <c r="F57" s="34">
        <v>7</v>
      </c>
      <c r="G57" s="34">
        <v>13</v>
      </c>
      <c r="H57" s="34">
        <v>7</v>
      </c>
      <c r="J57" s="16" t="s">
        <v>111</v>
      </c>
      <c r="K57" s="4">
        <f>K56-N41</f>
        <v>301090413.19999999</v>
      </c>
    </row>
    <row r="58" spans="1:14" x14ac:dyDescent="0.3">
      <c r="A58" s="8" t="s">
        <v>67</v>
      </c>
      <c r="B58" s="22">
        <f t="shared" si="21"/>
        <v>0.41666666666666669</v>
      </c>
      <c r="C58" s="34">
        <v>10</v>
      </c>
      <c r="D58" s="34">
        <v>0</v>
      </c>
      <c r="E58" s="34">
        <v>0</v>
      </c>
      <c r="F58" s="34">
        <v>3</v>
      </c>
      <c r="G58" s="34">
        <v>7</v>
      </c>
      <c r="H58" s="34">
        <v>0</v>
      </c>
      <c r="J58" s="16" t="s">
        <v>112</v>
      </c>
      <c r="K58" s="1">
        <f>(160*4)*6</f>
        <v>3840</v>
      </c>
      <c r="L58" s="6">
        <v>1</v>
      </c>
    </row>
    <row r="59" spans="1:14" x14ac:dyDescent="0.3">
      <c r="A59" s="8" t="s">
        <v>68</v>
      </c>
      <c r="B59" s="22">
        <f t="shared" si="21"/>
        <v>0.47916666666666669</v>
      </c>
      <c r="C59" s="34">
        <v>13</v>
      </c>
      <c r="D59" s="34">
        <v>0</v>
      </c>
      <c r="E59" s="34">
        <v>0</v>
      </c>
      <c r="F59" s="34">
        <v>3</v>
      </c>
      <c r="G59" s="34">
        <v>7</v>
      </c>
      <c r="H59" s="34">
        <v>0</v>
      </c>
      <c r="J59" s="16" t="s">
        <v>113</v>
      </c>
      <c r="K59" s="1">
        <f>L12</f>
        <v>2189</v>
      </c>
      <c r="L59" s="28">
        <f>(K59*1)/K58</f>
        <v>0.57005208333333335</v>
      </c>
    </row>
    <row r="60" spans="1:14" x14ac:dyDescent="0.3">
      <c r="A60" s="8" t="s">
        <v>69</v>
      </c>
      <c r="B60" s="22">
        <f t="shared" si="21"/>
        <v>0.77083333333333337</v>
      </c>
      <c r="C60" s="34">
        <v>10</v>
      </c>
      <c r="D60" s="34">
        <v>7</v>
      </c>
      <c r="E60" s="34">
        <v>3</v>
      </c>
      <c r="F60" s="34">
        <v>7</v>
      </c>
      <c r="G60" s="34">
        <v>7</v>
      </c>
      <c r="H60" s="34">
        <v>3</v>
      </c>
      <c r="J60" s="16" t="s">
        <v>114</v>
      </c>
      <c r="K60" s="1">
        <f>K58-K59</f>
        <v>1651</v>
      </c>
      <c r="L60" s="28">
        <f>(K60*1)/K58</f>
        <v>0.42994791666666665</v>
      </c>
    </row>
    <row r="61" spans="1:14" x14ac:dyDescent="0.3">
      <c r="A61" s="9"/>
      <c r="B61" s="23">
        <f>SUM(B49:B60)</f>
        <v>9.125</v>
      </c>
      <c r="C61" s="11"/>
      <c r="D61" s="11"/>
      <c r="E61" s="11"/>
      <c r="F61" s="11"/>
      <c r="G61" s="11"/>
      <c r="H61" s="11"/>
      <c r="I61" s="12"/>
    </row>
  </sheetData>
  <mergeCells count="8">
    <mergeCell ref="A2:D2"/>
    <mergeCell ref="L46:N46"/>
    <mergeCell ref="L52:N52"/>
    <mergeCell ref="L47:N47"/>
    <mergeCell ref="L48:N48"/>
    <mergeCell ref="L49:N49"/>
    <mergeCell ref="C4:H4"/>
    <mergeCell ref="J4:K4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82E47-71AD-498A-88E2-385490CC8621}">
  <dimension ref="A1:U61"/>
  <sheetViews>
    <sheetView zoomScale="98" zoomScaleNormal="98" workbookViewId="0">
      <selection activeCell="G1" sqref="G1:J3"/>
    </sheetView>
  </sheetViews>
  <sheetFormatPr baseColWidth="10" defaultRowHeight="14.4" outlineLevelRow="1" x14ac:dyDescent="0.3"/>
  <cols>
    <col min="1" max="1" width="58" bestFit="1" customWidth="1"/>
    <col min="2" max="2" width="9.109375" customWidth="1"/>
    <col min="3" max="3" width="15" customWidth="1"/>
    <col min="4" max="4" width="24.33203125" customWidth="1"/>
    <col min="5" max="5" width="9.109375" customWidth="1"/>
    <col min="6" max="6" width="8.109375" customWidth="1"/>
    <col min="7" max="7" width="16.6640625" customWidth="1"/>
    <col min="8" max="8" width="12" customWidth="1"/>
    <col min="9" max="9" width="5" customWidth="1"/>
    <col min="10" max="10" width="29.6640625" bestFit="1" customWidth="1"/>
    <col min="11" max="11" width="29.77734375" customWidth="1"/>
    <col min="12" max="12" width="22.77734375" customWidth="1"/>
    <col min="13" max="14" width="18" bestFit="1" customWidth="1"/>
    <col min="15" max="15" width="16.109375" bestFit="1" customWidth="1"/>
    <col min="16" max="16" width="12.21875" bestFit="1" customWidth="1"/>
    <col min="17" max="17" width="14.21875" bestFit="1" customWidth="1"/>
    <col min="18" max="18" width="14.77734375" bestFit="1" customWidth="1"/>
    <col min="19" max="19" width="27.5546875" bestFit="1" customWidth="1"/>
  </cols>
  <sheetData>
    <row r="1" spans="1:19" x14ac:dyDescent="0.3">
      <c r="G1" s="46" t="s">
        <v>115</v>
      </c>
      <c r="H1" s="47"/>
      <c r="I1" s="47"/>
      <c r="J1" s="48"/>
    </row>
    <row r="2" spans="1:19" ht="18" x14ac:dyDescent="0.35">
      <c r="A2" s="44" t="s">
        <v>0</v>
      </c>
      <c r="B2" s="44"/>
      <c r="C2" s="44"/>
      <c r="D2" s="44"/>
      <c r="G2" s="49"/>
      <c r="H2" s="50"/>
      <c r="I2" s="50"/>
      <c r="J2" s="51"/>
    </row>
    <row r="3" spans="1:19" ht="15" thickBot="1" x14ac:dyDescent="0.35">
      <c r="G3" s="52"/>
      <c r="H3" s="53"/>
      <c r="I3" s="53"/>
      <c r="J3" s="54"/>
    </row>
    <row r="4" spans="1:19" x14ac:dyDescent="0.3">
      <c r="A4" s="1" t="s">
        <v>11</v>
      </c>
      <c r="B4" s="1"/>
      <c r="C4" s="43" t="s">
        <v>1</v>
      </c>
      <c r="D4" s="43"/>
      <c r="E4" s="43"/>
      <c r="F4" s="43"/>
      <c r="G4" s="45"/>
      <c r="H4" s="45"/>
      <c r="J4" s="45" t="s">
        <v>2</v>
      </c>
      <c r="K4" s="43"/>
    </row>
    <row r="5" spans="1:19" ht="14.4" customHeight="1" x14ac:dyDescent="0.3">
      <c r="A5" s="7" t="s">
        <v>36</v>
      </c>
      <c r="B5" s="7" t="s">
        <v>85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40</v>
      </c>
      <c r="H5" s="3" t="s">
        <v>9</v>
      </c>
      <c r="J5" s="13" t="s">
        <v>3</v>
      </c>
      <c r="K5" s="13" t="s">
        <v>4</v>
      </c>
      <c r="L5" s="13" t="s">
        <v>10</v>
      </c>
      <c r="M5" s="13" t="s">
        <v>70</v>
      </c>
      <c r="N5" s="13" t="s">
        <v>71</v>
      </c>
      <c r="O5" s="13" t="s">
        <v>72</v>
      </c>
      <c r="P5" s="13" t="s">
        <v>73</v>
      </c>
      <c r="Q5" s="13" t="s">
        <v>74</v>
      </c>
      <c r="R5" s="13" t="s">
        <v>75</v>
      </c>
      <c r="S5" s="13" t="s">
        <v>105</v>
      </c>
    </row>
    <row r="6" spans="1:19" outlineLevel="1" x14ac:dyDescent="0.3">
      <c r="A6" s="8" t="s">
        <v>16</v>
      </c>
      <c r="B6" s="22">
        <f>SUM(C6:H6)/8</f>
        <v>1.5</v>
      </c>
      <c r="C6" s="2">
        <v>4</v>
      </c>
      <c r="D6" s="2">
        <v>2</v>
      </c>
      <c r="E6" s="2">
        <v>1</v>
      </c>
      <c r="F6" s="2">
        <v>1</v>
      </c>
      <c r="G6" s="2">
        <v>3</v>
      </c>
      <c r="H6" s="2">
        <v>1</v>
      </c>
      <c r="J6" s="1" t="s">
        <v>5</v>
      </c>
      <c r="K6" s="1" t="s">
        <v>12</v>
      </c>
      <c r="L6" s="1">
        <f>U19</f>
        <v>709</v>
      </c>
      <c r="M6" s="4">
        <f>(M35/20)/8</f>
        <v>12187.5</v>
      </c>
      <c r="N6" s="15">
        <f>L19*M6</f>
        <v>377812.5</v>
      </c>
      <c r="O6" s="15">
        <f>M19*M6</f>
        <v>207187.5</v>
      </c>
      <c r="P6" s="15">
        <f>N19*M6</f>
        <v>73125</v>
      </c>
      <c r="Q6" s="15">
        <f>O19*M6</f>
        <v>182812.5</v>
      </c>
      <c r="R6" s="15">
        <f>L6*M6</f>
        <v>8640937.5</v>
      </c>
      <c r="S6" s="15">
        <f>R6*1.2</f>
        <v>10369125</v>
      </c>
    </row>
    <row r="7" spans="1:19" outlineLevel="1" x14ac:dyDescent="0.3">
      <c r="A7" s="8" t="s">
        <v>17</v>
      </c>
      <c r="B7" s="22">
        <f t="shared" ref="B7:B16" si="0">SUM(C7:H7)/8</f>
        <v>1.375</v>
      </c>
      <c r="C7" s="2">
        <v>6</v>
      </c>
      <c r="D7" s="2">
        <v>1</v>
      </c>
      <c r="E7" s="2">
        <v>0</v>
      </c>
      <c r="F7" s="2">
        <v>1</v>
      </c>
      <c r="G7" s="2">
        <v>3</v>
      </c>
      <c r="H7" s="2">
        <v>0</v>
      </c>
      <c r="J7" s="1" t="s">
        <v>6</v>
      </c>
      <c r="K7" s="5" t="s">
        <v>13</v>
      </c>
      <c r="L7" s="1">
        <f t="shared" ref="L7:L11" si="1">U20</f>
        <v>800</v>
      </c>
      <c r="M7" s="4">
        <f t="shared" ref="M7:M11" si="2">(M36/20)/8</f>
        <v>20312.5</v>
      </c>
      <c r="N7" s="15">
        <f t="shared" ref="N7:N11" si="3">L20*M7</f>
        <v>548437.5</v>
      </c>
      <c r="O7" s="15">
        <f t="shared" ref="O7:O11" si="4">M20*M7</f>
        <v>243750</v>
      </c>
      <c r="P7" s="15">
        <f t="shared" ref="P7:P11" si="5">N20*M7</f>
        <v>2112500</v>
      </c>
      <c r="Q7" s="15">
        <f t="shared" ref="Q7:Q11" si="6">O20*M7</f>
        <v>345312.5</v>
      </c>
      <c r="R7" s="15">
        <f>L7*M7</f>
        <v>16250000</v>
      </c>
      <c r="S7" s="15">
        <f t="shared" ref="S7:S11" si="7">R7*1.2</f>
        <v>19500000</v>
      </c>
    </row>
    <row r="8" spans="1:19" outlineLevel="1" x14ac:dyDescent="0.3">
      <c r="A8" t="s">
        <v>41</v>
      </c>
      <c r="B8" s="22">
        <f t="shared" si="0"/>
        <v>2</v>
      </c>
      <c r="C8" s="2">
        <v>2</v>
      </c>
      <c r="D8" s="2">
        <v>4</v>
      </c>
      <c r="E8" s="2">
        <v>2</v>
      </c>
      <c r="F8" s="2">
        <v>1</v>
      </c>
      <c r="G8" s="2">
        <v>6</v>
      </c>
      <c r="H8" s="2">
        <v>1</v>
      </c>
      <c r="J8" s="1" t="s">
        <v>7</v>
      </c>
      <c r="K8" s="1" t="s">
        <v>12</v>
      </c>
      <c r="L8" s="1">
        <f t="shared" si="1"/>
        <v>778</v>
      </c>
      <c r="M8" s="4">
        <f t="shared" si="2"/>
        <v>17875</v>
      </c>
      <c r="N8" s="15">
        <f t="shared" si="3"/>
        <v>178750</v>
      </c>
      <c r="O8" s="15">
        <f t="shared" si="4"/>
        <v>411125</v>
      </c>
      <c r="P8" s="15">
        <f t="shared" si="5"/>
        <v>1626625</v>
      </c>
      <c r="Q8" s="15">
        <f t="shared" si="6"/>
        <v>250250</v>
      </c>
      <c r="R8" s="15">
        <f t="shared" ref="R8:R11" si="8">L8*M8</f>
        <v>13906750</v>
      </c>
      <c r="S8" s="15">
        <f t="shared" si="7"/>
        <v>16688100</v>
      </c>
    </row>
    <row r="9" spans="1:19" outlineLevel="1" x14ac:dyDescent="0.3">
      <c r="A9" s="8" t="s">
        <v>18</v>
      </c>
      <c r="B9" s="22">
        <f t="shared" si="0"/>
        <v>1.875</v>
      </c>
      <c r="C9" s="2">
        <v>1</v>
      </c>
      <c r="D9" s="2">
        <v>4</v>
      </c>
      <c r="E9" s="2">
        <v>2</v>
      </c>
      <c r="F9" s="2">
        <v>2</v>
      </c>
      <c r="G9" s="2">
        <v>6</v>
      </c>
      <c r="H9" s="2">
        <v>0</v>
      </c>
      <c r="J9" s="1" t="s">
        <v>8</v>
      </c>
      <c r="K9" s="1" t="s">
        <v>14</v>
      </c>
      <c r="L9" s="1">
        <f t="shared" si="1"/>
        <v>764</v>
      </c>
      <c r="M9" s="4">
        <f t="shared" si="2"/>
        <v>11375</v>
      </c>
      <c r="N9" s="15">
        <f t="shared" si="3"/>
        <v>159250</v>
      </c>
      <c r="O9" s="15">
        <f t="shared" si="4"/>
        <v>113750</v>
      </c>
      <c r="P9" s="15">
        <f t="shared" si="5"/>
        <v>500500</v>
      </c>
      <c r="Q9" s="15">
        <f t="shared" si="6"/>
        <v>637000</v>
      </c>
      <c r="R9" s="15">
        <f t="shared" si="8"/>
        <v>8690500</v>
      </c>
      <c r="S9" s="15">
        <f t="shared" si="7"/>
        <v>10428600</v>
      </c>
    </row>
    <row r="10" spans="1:19" outlineLevel="1" x14ac:dyDescent="0.3">
      <c r="A10" s="8" t="s">
        <v>19</v>
      </c>
      <c r="B10" s="22">
        <f t="shared" si="0"/>
        <v>1.25</v>
      </c>
      <c r="C10" s="2">
        <v>1</v>
      </c>
      <c r="D10" s="2">
        <v>3</v>
      </c>
      <c r="E10" s="2">
        <v>1</v>
      </c>
      <c r="F10" s="2">
        <v>1</v>
      </c>
      <c r="G10" s="2">
        <v>4</v>
      </c>
      <c r="H10" s="2">
        <v>0</v>
      </c>
      <c r="J10" s="1" t="s">
        <v>15</v>
      </c>
      <c r="K10" s="1" t="s">
        <v>14</v>
      </c>
      <c r="L10" s="1">
        <f t="shared" si="1"/>
        <v>743</v>
      </c>
      <c r="M10" s="4">
        <f t="shared" si="2"/>
        <v>13812.5</v>
      </c>
      <c r="N10" s="15">
        <f t="shared" si="3"/>
        <v>483437.5</v>
      </c>
      <c r="O10" s="15">
        <f t="shared" si="4"/>
        <v>221000</v>
      </c>
      <c r="P10" s="15">
        <f t="shared" si="5"/>
        <v>331500</v>
      </c>
      <c r="Q10" s="15">
        <f t="shared" si="6"/>
        <v>386750</v>
      </c>
      <c r="R10" s="15">
        <f t="shared" si="8"/>
        <v>10262687.5</v>
      </c>
      <c r="S10" s="15">
        <f t="shared" si="7"/>
        <v>12315225</v>
      </c>
    </row>
    <row r="11" spans="1:19" outlineLevel="1" x14ac:dyDescent="0.3">
      <c r="A11" s="8" t="s">
        <v>20</v>
      </c>
      <c r="B11" s="22">
        <f t="shared" si="0"/>
        <v>1.375</v>
      </c>
      <c r="C11" s="2">
        <v>1</v>
      </c>
      <c r="D11" s="2">
        <v>3</v>
      </c>
      <c r="E11" s="2">
        <v>1</v>
      </c>
      <c r="F11" s="2">
        <v>1</v>
      </c>
      <c r="G11" s="2">
        <v>5</v>
      </c>
      <c r="H11" s="2">
        <v>0</v>
      </c>
      <c r="J11" s="1" t="s">
        <v>9</v>
      </c>
      <c r="K11" s="1" t="s">
        <v>13</v>
      </c>
      <c r="L11" s="1">
        <f t="shared" si="1"/>
        <v>686</v>
      </c>
      <c r="M11" s="4">
        <f t="shared" si="2"/>
        <v>9750</v>
      </c>
      <c r="N11" s="15">
        <f t="shared" si="3"/>
        <v>146250</v>
      </c>
      <c r="O11" s="15">
        <f t="shared" si="4"/>
        <v>19500</v>
      </c>
      <c r="P11" s="15">
        <f t="shared" si="5"/>
        <v>243750</v>
      </c>
      <c r="Q11" s="15">
        <f t="shared" si="6"/>
        <v>39000</v>
      </c>
      <c r="R11" s="15">
        <f t="shared" si="8"/>
        <v>6688500</v>
      </c>
      <c r="S11" s="15">
        <f t="shared" si="7"/>
        <v>8026200</v>
      </c>
    </row>
    <row r="12" spans="1:19" outlineLevel="1" x14ac:dyDescent="0.3">
      <c r="A12" s="8" t="s">
        <v>21</v>
      </c>
      <c r="B12" s="22">
        <f t="shared" si="0"/>
        <v>2.625</v>
      </c>
      <c r="C12" s="2">
        <v>1</v>
      </c>
      <c r="D12" s="2">
        <v>4</v>
      </c>
      <c r="E12" s="2">
        <v>0</v>
      </c>
      <c r="F12" s="2">
        <v>2</v>
      </c>
      <c r="G12" s="2">
        <v>2</v>
      </c>
      <c r="H12" s="2">
        <v>12</v>
      </c>
      <c r="J12" s="13" t="s">
        <v>76</v>
      </c>
      <c r="K12" s="13"/>
      <c r="L12" s="14">
        <f>SUM(L6:L11)</f>
        <v>4480</v>
      </c>
      <c r="M12" s="14"/>
      <c r="N12" s="16">
        <f t="shared" ref="N12:S12" si="9">SUM(N6:N11)</f>
        <v>1893937.5</v>
      </c>
      <c r="O12" s="16">
        <f t="shared" si="9"/>
        <v>1216312.5</v>
      </c>
      <c r="P12" s="16">
        <f t="shared" si="9"/>
        <v>4888000</v>
      </c>
      <c r="Q12" s="16">
        <f t="shared" si="9"/>
        <v>1841125</v>
      </c>
      <c r="R12" s="16">
        <f t="shared" si="9"/>
        <v>64439375</v>
      </c>
      <c r="S12" s="16">
        <f t="shared" si="9"/>
        <v>77327250</v>
      </c>
    </row>
    <row r="13" spans="1:19" outlineLevel="1" x14ac:dyDescent="0.3">
      <c r="A13" s="8" t="s">
        <v>22</v>
      </c>
      <c r="B13" s="22">
        <f t="shared" si="0"/>
        <v>1</v>
      </c>
      <c r="C13" s="2">
        <v>5</v>
      </c>
      <c r="D13" s="2">
        <v>1</v>
      </c>
      <c r="E13" s="2">
        <v>0</v>
      </c>
      <c r="F13" s="2">
        <v>1</v>
      </c>
      <c r="G13" s="2">
        <v>1</v>
      </c>
      <c r="H13" s="2">
        <v>0</v>
      </c>
    </row>
    <row r="14" spans="1:19" outlineLevel="1" x14ac:dyDescent="0.3">
      <c r="A14" s="8" t="s">
        <v>42</v>
      </c>
      <c r="B14" s="22">
        <f t="shared" si="0"/>
        <v>1.125</v>
      </c>
      <c r="C14" s="2">
        <v>5</v>
      </c>
      <c r="D14" s="2">
        <v>1</v>
      </c>
      <c r="E14" s="2">
        <v>1</v>
      </c>
      <c r="F14" s="2">
        <v>1</v>
      </c>
      <c r="G14" s="2">
        <v>1</v>
      </c>
      <c r="H14" s="2">
        <v>0</v>
      </c>
      <c r="J14" s="13" t="s">
        <v>77</v>
      </c>
      <c r="K14" s="13" t="s">
        <v>78</v>
      </c>
      <c r="L14" s="13" t="s">
        <v>94</v>
      </c>
    </row>
    <row r="15" spans="1:19" outlineLevel="1" x14ac:dyDescent="0.3">
      <c r="A15" s="8" t="s">
        <v>23</v>
      </c>
      <c r="B15" s="22">
        <f t="shared" si="0"/>
        <v>1.125</v>
      </c>
      <c r="C15" s="2">
        <v>3</v>
      </c>
      <c r="D15" s="2">
        <v>2</v>
      </c>
      <c r="E15" s="2">
        <v>1</v>
      </c>
      <c r="F15" s="2">
        <v>1</v>
      </c>
      <c r="G15" s="2">
        <v>2</v>
      </c>
      <c r="H15" s="2">
        <v>0</v>
      </c>
      <c r="J15" s="15">
        <v>40866</v>
      </c>
      <c r="K15" s="1">
        <v>1.2</v>
      </c>
      <c r="L15" s="15">
        <f>J15*K15</f>
        <v>49039.199999999997</v>
      </c>
      <c r="S15" s="21"/>
    </row>
    <row r="16" spans="1:19" outlineLevel="1" x14ac:dyDescent="0.3">
      <c r="A16" s="8" t="s">
        <v>24</v>
      </c>
      <c r="B16" s="22">
        <f t="shared" si="0"/>
        <v>1.25</v>
      </c>
      <c r="C16" s="2">
        <v>2</v>
      </c>
      <c r="D16" s="2">
        <v>2</v>
      </c>
      <c r="E16" s="2">
        <v>1</v>
      </c>
      <c r="F16" s="2">
        <v>2</v>
      </c>
      <c r="G16" s="2">
        <v>2</v>
      </c>
      <c r="H16" s="2">
        <v>1</v>
      </c>
    </row>
    <row r="17" spans="1:21" outlineLevel="1" x14ac:dyDescent="0.3">
      <c r="A17" s="9"/>
      <c r="B17" s="23">
        <f>SUM(B6:B16)</f>
        <v>16.5</v>
      </c>
      <c r="C17" s="11"/>
      <c r="D17" s="11"/>
      <c r="E17" s="11"/>
      <c r="F17" s="11"/>
      <c r="G17" s="11"/>
      <c r="H17" s="11"/>
      <c r="I17" s="12"/>
    </row>
    <row r="18" spans="1:21" ht="14.4" customHeight="1" x14ac:dyDescent="0.3">
      <c r="A18" s="17" t="s">
        <v>37</v>
      </c>
      <c r="B18" s="17"/>
      <c r="C18" s="18" t="s">
        <v>5</v>
      </c>
      <c r="D18" s="18" t="s">
        <v>6</v>
      </c>
      <c r="E18" s="18" t="s">
        <v>7</v>
      </c>
      <c r="F18" s="18" t="s">
        <v>8</v>
      </c>
      <c r="G18" s="18" t="s">
        <v>40</v>
      </c>
      <c r="H18" s="18" t="s">
        <v>9</v>
      </c>
      <c r="J18" s="13" t="s">
        <v>3</v>
      </c>
      <c r="K18" s="13" t="s">
        <v>4</v>
      </c>
      <c r="L18" s="13" t="s">
        <v>79</v>
      </c>
      <c r="M18" s="13" t="s">
        <v>81</v>
      </c>
      <c r="N18" s="13" t="s">
        <v>80</v>
      </c>
      <c r="O18" s="13" t="s">
        <v>82</v>
      </c>
      <c r="P18" s="13" t="s">
        <v>10</v>
      </c>
      <c r="Q18" s="13" t="s">
        <v>106</v>
      </c>
      <c r="R18" s="13" t="s">
        <v>107</v>
      </c>
      <c r="S18" s="20" t="s">
        <v>108</v>
      </c>
    </row>
    <row r="19" spans="1:21" outlineLevel="1" x14ac:dyDescent="0.3">
      <c r="A19" s="8" t="s">
        <v>25</v>
      </c>
      <c r="B19" s="22">
        <f>SUM(C19:H19)/8</f>
        <v>1.25</v>
      </c>
      <c r="C19" s="2">
        <v>1</v>
      </c>
      <c r="D19" s="2">
        <v>2</v>
      </c>
      <c r="E19" s="2">
        <v>1</v>
      </c>
      <c r="F19" s="2">
        <v>1</v>
      </c>
      <c r="G19" s="2">
        <v>5</v>
      </c>
      <c r="H19" s="2">
        <v>0</v>
      </c>
      <c r="J19" s="1" t="s">
        <v>5</v>
      </c>
      <c r="K19" s="1" t="s">
        <v>12</v>
      </c>
      <c r="L19" s="5">
        <f>SUM(C6:C16)</f>
        <v>31</v>
      </c>
      <c r="M19" s="5">
        <f>SUM(C19:C26)</f>
        <v>17</v>
      </c>
      <c r="N19" s="5">
        <f>SUM(C29:C46)</f>
        <v>6</v>
      </c>
      <c r="O19" s="5">
        <f>SUM(C49:C60)</f>
        <v>15</v>
      </c>
      <c r="P19" s="24">
        <f>SUM(L19:O19)</f>
        <v>69</v>
      </c>
      <c r="Q19" s="31">
        <f>P19*$K$15</f>
        <v>82.8</v>
      </c>
      <c r="R19" s="32">
        <f>P19*$L$15</f>
        <v>3383704.8</v>
      </c>
      <c r="S19" s="33">
        <f>P19/4</f>
        <v>17.25</v>
      </c>
      <c r="T19">
        <f>160*4</f>
        <v>640</v>
      </c>
      <c r="U19">
        <f>T19+P19</f>
        <v>709</v>
      </c>
    </row>
    <row r="20" spans="1:21" outlineLevel="1" x14ac:dyDescent="0.3">
      <c r="A20" s="8" t="s">
        <v>26</v>
      </c>
      <c r="B20" s="22">
        <f t="shared" ref="B20:B26" si="10">SUM(C20:H20)/8</f>
        <v>1.875</v>
      </c>
      <c r="C20" s="2">
        <v>2</v>
      </c>
      <c r="D20" s="2">
        <v>5</v>
      </c>
      <c r="E20" s="2">
        <v>5</v>
      </c>
      <c r="F20" s="2">
        <v>1</v>
      </c>
      <c r="G20" s="2">
        <v>1</v>
      </c>
      <c r="H20" s="2">
        <v>1</v>
      </c>
      <c r="J20" s="1" t="s">
        <v>6</v>
      </c>
      <c r="K20" s="5" t="s">
        <v>13</v>
      </c>
      <c r="L20" s="5">
        <f>SUM(D6:D16)</f>
        <v>27</v>
      </c>
      <c r="M20" s="5">
        <f>SUM(D19:D26)</f>
        <v>12</v>
      </c>
      <c r="N20" s="5">
        <f>SUM(D29:D46)</f>
        <v>104</v>
      </c>
      <c r="O20" s="5">
        <f>SUM(D49:D60)</f>
        <v>17</v>
      </c>
      <c r="P20" s="24">
        <f t="shared" ref="P20:P24" si="11">SUM(L20:O20)</f>
        <v>160</v>
      </c>
      <c r="Q20" s="31">
        <f t="shared" ref="Q20:Q25" si="12">P20*$K$15</f>
        <v>192</v>
      </c>
      <c r="R20" s="32">
        <f t="shared" ref="R20:R25" si="13">P20*$L$15</f>
        <v>7846272</v>
      </c>
      <c r="S20" s="33">
        <f t="shared" ref="S20:S24" si="14">P20/4</f>
        <v>40</v>
      </c>
      <c r="T20">
        <f t="shared" ref="T20:T24" si="15">160*4</f>
        <v>640</v>
      </c>
      <c r="U20">
        <f t="shared" ref="U20:U24" si="16">T20+P20</f>
        <v>800</v>
      </c>
    </row>
    <row r="21" spans="1:21" outlineLevel="1" x14ac:dyDescent="0.3">
      <c r="A21" s="8" t="s">
        <v>27</v>
      </c>
      <c r="B21" s="22">
        <f t="shared" si="10"/>
        <v>1.5</v>
      </c>
      <c r="C21" s="2">
        <v>1</v>
      </c>
      <c r="D21" s="2">
        <v>1</v>
      </c>
      <c r="E21" s="2">
        <v>8</v>
      </c>
      <c r="F21" s="2">
        <v>1</v>
      </c>
      <c r="G21" s="2">
        <v>1</v>
      </c>
      <c r="H21" s="2">
        <v>0</v>
      </c>
      <c r="J21" s="1" t="s">
        <v>7</v>
      </c>
      <c r="K21" s="1" t="s">
        <v>12</v>
      </c>
      <c r="L21" s="5">
        <f>SUM(E6:E16)</f>
        <v>10</v>
      </c>
      <c r="M21" s="5">
        <f>SUM(E19:E26)</f>
        <v>23</v>
      </c>
      <c r="N21" s="5">
        <f>SUM(E29:E46)</f>
        <v>91</v>
      </c>
      <c r="O21" s="5">
        <f>SUM(E49:E60)</f>
        <v>14</v>
      </c>
      <c r="P21" s="24">
        <f t="shared" si="11"/>
        <v>138</v>
      </c>
      <c r="Q21" s="31">
        <f t="shared" si="12"/>
        <v>165.6</v>
      </c>
      <c r="R21" s="32">
        <f t="shared" si="13"/>
        <v>6767409.5999999996</v>
      </c>
      <c r="S21" s="33">
        <f t="shared" si="14"/>
        <v>34.5</v>
      </c>
      <c r="T21">
        <f t="shared" si="15"/>
        <v>640</v>
      </c>
      <c r="U21">
        <f t="shared" si="16"/>
        <v>778</v>
      </c>
    </row>
    <row r="22" spans="1:21" outlineLevel="1" x14ac:dyDescent="0.3">
      <c r="A22" s="8" t="s">
        <v>28</v>
      </c>
      <c r="B22" s="22">
        <f t="shared" si="10"/>
        <v>1.375</v>
      </c>
      <c r="C22" s="2">
        <v>1</v>
      </c>
      <c r="D22" s="2">
        <v>1</v>
      </c>
      <c r="E22" s="2">
        <v>6</v>
      </c>
      <c r="F22" s="2">
        <v>1</v>
      </c>
      <c r="G22" s="2">
        <v>2</v>
      </c>
      <c r="H22" s="2">
        <v>0</v>
      </c>
      <c r="J22" s="1" t="s">
        <v>8</v>
      </c>
      <c r="K22" s="1" t="s">
        <v>14</v>
      </c>
      <c r="L22" s="5">
        <f>SUM(F6:F16)</f>
        <v>14</v>
      </c>
      <c r="M22" s="5">
        <f>SUM(F19:F26)</f>
        <v>10</v>
      </c>
      <c r="N22" s="5">
        <f>SUM(F29:F46)</f>
        <v>44</v>
      </c>
      <c r="O22" s="5">
        <f>SUM(F49:F60)</f>
        <v>56</v>
      </c>
      <c r="P22" s="24">
        <f t="shared" si="11"/>
        <v>124</v>
      </c>
      <c r="Q22" s="31">
        <f t="shared" si="12"/>
        <v>148.79999999999998</v>
      </c>
      <c r="R22" s="32">
        <f t="shared" si="13"/>
        <v>6080860.7999999998</v>
      </c>
      <c r="S22" s="33">
        <f t="shared" si="14"/>
        <v>31</v>
      </c>
      <c r="T22">
        <f t="shared" si="15"/>
        <v>640</v>
      </c>
      <c r="U22">
        <f t="shared" si="16"/>
        <v>764</v>
      </c>
    </row>
    <row r="23" spans="1:21" outlineLevel="1" x14ac:dyDescent="0.3">
      <c r="A23" s="8" t="s">
        <v>29</v>
      </c>
      <c r="B23" s="22">
        <f t="shared" si="10"/>
        <v>1</v>
      </c>
      <c r="C23" s="2">
        <v>4</v>
      </c>
      <c r="D23" s="2">
        <v>1</v>
      </c>
      <c r="E23" s="2">
        <v>0</v>
      </c>
      <c r="F23" s="2">
        <v>1</v>
      </c>
      <c r="G23" s="2">
        <v>2</v>
      </c>
      <c r="H23" s="2">
        <v>0</v>
      </c>
      <c r="J23" s="1" t="s">
        <v>15</v>
      </c>
      <c r="K23" s="1" t="s">
        <v>14</v>
      </c>
      <c r="L23" s="5">
        <f>SUM(G6:G16)</f>
        <v>35</v>
      </c>
      <c r="M23" s="5">
        <f>SUM(G19:G26)</f>
        <v>16</v>
      </c>
      <c r="N23" s="5">
        <f>SUM(G29:G46)</f>
        <v>24</v>
      </c>
      <c r="O23" s="5">
        <f>SUM(G49:G60)</f>
        <v>28</v>
      </c>
      <c r="P23" s="24">
        <f t="shared" si="11"/>
        <v>103</v>
      </c>
      <c r="Q23" s="31">
        <f t="shared" si="12"/>
        <v>123.6</v>
      </c>
      <c r="R23" s="32">
        <f t="shared" si="13"/>
        <v>5051037.5999999996</v>
      </c>
      <c r="S23" s="33">
        <f t="shared" si="14"/>
        <v>25.75</v>
      </c>
      <c r="T23">
        <f t="shared" si="15"/>
        <v>640</v>
      </c>
      <c r="U23">
        <f t="shared" si="16"/>
        <v>743</v>
      </c>
    </row>
    <row r="24" spans="1:21" outlineLevel="1" x14ac:dyDescent="0.3">
      <c r="A24" s="8" t="s">
        <v>30</v>
      </c>
      <c r="B24" s="22">
        <f t="shared" si="10"/>
        <v>1</v>
      </c>
      <c r="C24" s="2">
        <v>3</v>
      </c>
      <c r="D24" s="2">
        <v>0</v>
      </c>
      <c r="E24" s="2">
        <v>1</v>
      </c>
      <c r="F24" s="2">
        <v>2</v>
      </c>
      <c r="G24" s="2">
        <v>2</v>
      </c>
      <c r="H24" s="2">
        <v>0</v>
      </c>
      <c r="J24" s="1" t="s">
        <v>9</v>
      </c>
      <c r="K24" s="1" t="s">
        <v>13</v>
      </c>
      <c r="L24" s="1">
        <f>SUM(H6:H16)</f>
        <v>15</v>
      </c>
      <c r="M24" s="1">
        <f>SUM(H19:H26)</f>
        <v>2</v>
      </c>
      <c r="N24" s="1">
        <f>SUM(H29:H46)</f>
        <v>25</v>
      </c>
      <c r="O24" s="1">
        <f>SUM(H49:H60)</f>
        <v>4</v>
      </c>
      <c r="P24" s="24">
        <f t="shared" si="11"/>
        <v>46</v>
      </c>
      <c r="Q24" s="31">
        <f t="shared" si="12"/>
        <v>55.199999999999996</v>
      </c>
      <c r="R24" s="32">
        <f t="shared" si="13"/>
        <v>2255803.1999999997</v>
      </c>
      <c r="S24" s="33">
        <f t="shared" si="14"/>
        <v>11.5</v>
      </c>
      <c r="T24">
        <f t="shared" si="15"/>
        <v>640</v>
      </c>
      <c r="U24">
        <f t="shared" si="16"/>
        <v>686</v>
      </c>
    </row>
    <row r="25" spans="1:21" outlineLevel="1" x14ac:dyDescent="0.3">
      <c r="A25" s="8" t="s">
        <v>31</v>
      </c>
      <c r="B25" s="22">
        <f t="shared" si="10"/>
        <v>0.75</v>
      </c>
      <c r="C25" s="2">
        <v>3</v>
      </c>
      <c r="D25" s="2">
        <v>0</v>
      </c>
      <c r="E25" s="2">
        <v>0</v>
      </c>
      <c r="F25" s="2">
        <v>1</v>
      </c>
      <c r="G25" s="2">
        <v>2</v>
      </c>
      <c r="H25" s="2">
        <v>0</v>
      </c>
      <c r="L25" s="10">
        <f>SUM(L19:L24)</f>
        <v>132</v>
      </c>
      <c r="M25" s="10">
        <f t="shared" ref="M25:O25" si="17">SUM(M19:M24)</f>
        <v>80</v>
      </c>
      <c r="N25" s="10">
        <f t="shared" si="17"/>
        <v>294</v>
      </c>
      <c r="O25" s="10">
        <f t="shared" si="17"/>
        <v>134</v>
      </c>
      <c r="P25" s="10">
        <f>SUM(L25:O25)</f>
        <v>640</v>
      </c>
      <c r="Q25" s="31">
        <f t="shared" si="12"/>
        <v>768</v>
      </c>
      <c r="R25" s="32">
        <f t="shared" si="13"/>
        <v>31385088</v>
      </c>
      <c r="S25" s="33">
        <f>SUM(S19:S24)/6</f>
        <v>26.666666666666668</v>
      </c>
    </row>
    <row r="26" spans="1:21" outlineLevel="1" x14ac:dyDescent="0.3">
      <c r="A26" s="8" t="s">
        <v>43</v>
      </c>
      <c r="B26" s="22">
        <f t="shared" si="10"/>
        <v>1.25</v>
      </c>
      <c r="C26" s="2">
        <v>2</v>
      </c>
      <c r="D26" s="2">
        <v>2</v>
      </c>
      <c r="E26" s="2">
        <v>2</v>
      </c>
      <c r="F26" s="2">
        <v>2</v>
      </c>
      <c r="G26" s="2">
        <v>1</v>
      </c>
      <c r="H26" s="2">
        <v>1</v>
      </c>
    </row>
    <row r="27" spans="1:21" outlineLevel="1" x14ac:dyDescent="0.3">
      <c r="A27" s="9"/>
      <c r="B27" s="23">
        <f>SUM(B19:B26)</f>
        <v>10</v>
      </c>
      <c r="C27" s="11"/>
      <c r="D27" s="11"/>
      <c r="E27" s="11"/>
      <c r="F27" s="11"/>
      <c r="G27" s="11"/>
      <c r="H27" s="11"/>
      <c r="I27" s="12"/>
      <c r="J27" s="19" t="s">
        <v>104</v>
      </c>
      <c r="K27" s="4">
        <f>R12</f>
        <v>64439375</v>
      </c>
    </row>
    <row r="28" spans="1:21" ht="14.4" customHeight="1" x14ac:dyDescent="0.3">
      <c r="A28" s="17" t="s">
        <v>38</v>
      </c>
      <c r="B28" s="17"/>
      <c r="C28" s="18" t="s">
        <v>5</v>
      </c>
      <c r="D28" s="18" t="s">
        <v>6</v>
      </c>
      <c r="E28" s="18" t="s">
        <v>7</v>
      </c>
      <c r="F28" s="18" t="s">
        <v>8</v>
      </c>
      <c r="G28" s="18" t="s">
        <v>40</v>
      </c>
      <c r="H28" s="18" t="s">
        <v>9</v>
      </c>
    </row>
    <row r="29" spans="1:21" ht="14.4" customHeight="1" outlineLevel="1" x14ac:dyDescent="0.3">
      <c r="A29" s="8" t="s">
        <v>32</v>
      </c>
      <c r="B29" s="22">
        <f>SUM(C29:H29)/8</f>
        <v>1.25</v>
      </c>
      <c r="C29" s="2">
        <v>1</v>
      </c>
      <c r="D29" s="2">
        <v>4</v>
      </c>
      <c r="E29" s="2">
        <v>3</v>
      </c>
      <c r="F29" s="2">
        <v>1</v>
      </c>
      <c r="G29" s="2">
        <v>0</v>
      </c>
      <c r="H29" s="2">
        <v>1</v>
      </c>
      <c r="J29" s="19" t="s">
        <v>103</v>
      </c>
      <c r="K29" s="4">
        <f>K27*0.2</f>
        <v>12887875</v>
      </c>
    </row>
    <row r="30" spans="1:21" ht="14.4" customHeight="1" outlineLevel="1" x14ac:dyDescent="0.3">
      <c r="A30" s="8" t="s">
        <v>44</v>
      </c>
      <c r="B30" s="22">
        <f t="shared" ref="B30:B46" si="18">SUM(C30:H30)/8</f>
        <v>1.875</v>
      </c>
      <c r="C30" s="2">
        <v>0</v>
      </c>
      <c r="D30" s="2">
        <v>2</v>
      </c>
      <c r="E30" s="2">
        <v>11</v>
      </c>
      <c r="F30" s="2">
        <v>1</v>
      </c>
      <c r="G30" s="2">
        <v>1</v>
      </c>
      <c r="H30" s="2">
        <v>0</v>
      </c>
      <c r="K30" s="4"/>
    </row>
    <row r="31" spans="1:21" ht="14.4" customHeight="1" outlineLevel="1" x14ac:dyDescent="0.3">
      <c r="A31" s="8" t="s">
        <v>46</v>
      </c>
      <c r="B31" s="22">
        <f t="shared" si="18"/>
        <v>2.125</v>
      </c>
      <c r="C31" s="2">
        <v>0</v>
      </c>
      <c r="D31" s="2">
        <v>4</v>
      </c>
      <c r="E31" s="2">
        <v>11</v>
      </c>
      <c r="F31" s="2">
        <v>1</v>
      </c>
      <c r="G31" s="2">
        <v>1</v>
      </c>
      <c r="H31" s="2">
        <v>0</v>
      </c>
      <c r="K31" s="4">
        <f>SUM(K27:K29)</f>
        <v>77327250</v>
      </c>
      <c r="N31" s="21"/>
    </row>
    <row r="32" spans="1:21" ht="14.4" customHeight="1" outlineLevel="1" x14ac:dyDescent="0.3">
      <c r="A32" s="8" t="s">
        <v>33</v>
      </c>
      <c r="B32" s="22">
        <f t="shared" si="18"/>
        <v>2.125</v>
      </c>
      <c r="C32" s="2">
        <v>0</v>
      </c>
      <c r="D32" s="2">
        <v>5</v>
      </c>
      <c r="E32" s="2">
        <v>9</v>
      </c>
      <c r="F32" s="2">
        <v>2</v>
      </c>
      <c r="G32" s="2">
        <v>1</v>
      </c>
      <c r="H32" s="2">
        <v>0</v>
      </c>
    </row>
    <row r="33" spans="1:17" ht="14.4" customHeight="1" outlineLevel="1" x14ac:dyDescent="0.3">
      <c r="A33" s="8" t="s">
        <v>45</v>
      </c>
      <c r="B33" s="22">
        <f t="shared" si="18"/>
        <v>2.5</v>
      </c>
      <c r="C33" s="2">
        <v>0</v>
      </c>
      <c r="D33" s="2">
        <v>8</v>
      </c>
      <c r="E33" s="2">
        <v>6</v>
      </c>
      <c r="F33" s="2">
        <v>2</v>
      </c>
      <c r="G33" s="2">
        <v>2</v>
      </c>
      <c r="H33" s="2">
        <v>2</v>
      </c>
    </row>
    <row r="34" spans="1:17" ht="14.4" customHeight="1" outlineLevel="1" x14ac:dyDescent="0.3">
      <c r="A34" s="8" t="s">
        <v>47</v>
      </c>
      <c r="B34" s="22">
        <f t="shared" si="18"/>
        <v>2.625</v>
      </c>
      <c r="C34" s="2">
        <v>0</v>
      </c>
      <c r="D34" s="2">
        <v>9</v>
      </c>
      <c r="E34" s="2">
        <v>4</v>
      </c>
      <c r="F34" s="2">
        <v>3</v>
      </c>
      <c r="G34" s="2">
        <v>2</v>
      </c>
      <c r="H34" s="2">
        <v>3</v>
      </c>
      <c r="J34" s="13" t="s">
        <v>3</v>
      </c>
      <c r="K34" s="13" t="s">
        <v>4</v>
      </c>
      <c r="L34" s="13" t="s">
        <v>83</v>
      </c>
      <c r="M34" s="25" t="s">
        <v>84</v>
      </c>
      <c r="N34" s="13" t="s">
        <v>86</v>
      </c>
      <c r="P34" s="13" t="s">
        <v>87</v>
      </c>
      <c r="Q34" s="13" t="s">
        <v>88</v>
      </c>
    </row>
    <row r="35" spans="1:17" ht="14.4" customHeight="1" outlineLevel="1" x14ac:dyDescent="0.3">
      <c r="A35" s="8" t="s">
        <v>48</v>
      </c>
      <c r="B35" s="22">
        <f t="shared" si="18"/>
        <v>2.25</v>
      </c>
      <c r="C35" s="2">
        <v>0</v>
      </c>
      <c r="D35" s="2">
        <v>8</v>
      </c>
      <c r="E35" s="2">
        <v>3</v>
      </c>
      <c r="F35" s="2">
        <v>3</v>
      </c>
      <c r="G35" s="2">
        <v>2</v>
      </c>
      <c r="H35" s="2">
        <v>2</v>
      </c>
      <c r="J35" s="1" t="s">
        <v>5</v>
      </c>
      <c r="K35" s="1" t="s">
        <v>12</v>
      </c>
      <c r="L35" s="4">
        <v>1500000</v>
      </c>
      <c r="M35" s="26">
        <f>L35*1.3</f>
        <v>1950000</v>
      </c>
      <c r="N35" s="4">
        <f>M35*4</f>
        <v>7800000</v>
      </c>
      <c r="P35" s="4">
        <f>M6</f>
        <v>12187.5</v>
      </c>
      <c r="Q35" s="4">
        <f>P35*40</f>
        <v>487500</v>
      </c>
    </row>
    <row r="36" spans="1:17" ht="14.4" customHeight="1" outlineLevel="1" x14ac:dyDescent="0.3">
      <c r="A36" s="8" t="s">
        <v>49</v>
      </c>
      <c r="B36" s="22">
        <f t="shared" si="18"/>
        <v>2.875</v>
      </c>
      <c r="C36" s="2">
        <v>0</v>
      </c>
      <c r="D36" s="2">
        <v>10</v>
      </c>
      <c r="E36" s="2">
        <v>5</v>
      </c>
      <c r="F36" s="2">
        <v>3</v>
      </c>
      <c r="G36" s="2">
        <v>2</v>
      </c>
      <c r="H36" s="2">
        <v>3</v>
      </c>
      <c r="J36" s="1" t="s">
        <v>109</v>
      </c>
      <c r="K36" s="5" t="s">
        <v>13</v>
      </c>
      <c r="L36" s="4">
        <v>2500000</v>
      </c>
      <c r="M36" s="26">
        <f>L36*1.3</f>
        <v>3250000</v>
      </c>
      <c r="N36" s="4">
        <f t="shared" ref="N36:N40" si="19">M36*4</f>
        <v>13000000</v>
      </c>
      <c r="P36" s="4">
        <f t="shared" ref="P36:P40" si="20">M7</f>
        <v>20312.5</v>
      </c>
      <c r="Q36" s="4">
        <f t="shared" ref="Q36:Q40" si="21">P36*40</f>
        <v>812500</v>
      </c>
    </row>
    <row r="37" spans="1:17" ht="14.4" customHeight="1" outlineLevel="1" x14ac:dyDescent="0.3">
      <c r="A37" s="8" t="s">
        <v>50</v>
      </c>
      <c r="B37" s="22">
        <f t="shared" si="18"/>
        <v>2.25</v>
      </c>
      <c r="C37" s="2">
        <v>0</v>
      </c>
      <c r="D37" s="2">
        <v>8</v>
      </c>
      <c r="E37" s="2">
        <v>3</v>
      </c>
      <c r="F37" s="2">
        <v>3</v>
      </c>
      <c r="G37" s="2">
        <v>2</v>
      </c>
      <c r="H37" s="2">
        <v>2</v>
      </c>
      <c r="J37" s="1" t="s">
        <v>7</v>
      </c>
      <c r="K37" s="1" t="s">
        <v>12</v>
      </c>
      <c r="L37" s="4">
        <v>2200000</v>
      </c>
      <c r="M37" s="26">
        <f>L37*1.3</f>
        <v>2860000</v>
      </c>
      <c r="N37" s="4">
        <f t="shared" si="19"/>
        <v>11440000</v>
      </c>
      <c r="P37" s="4">
        <f t="shared" si="20"/>
        <v>17875</v>
      </c>
      <c r="Q37" s="4">
        <f t="shared" si="21"/>
        <v>715000</v>
      </c>
    </row>
    <row r="38" spans="1:17" ht="14.4" customHeight="1" outlineLevel="1" x14ac:dyDescent="0.3">
      <c r="A38" s="8" t="s">
        <v>51</v>
      </c>
      <c r="B38" s="22">
        <f t="shared" si="18"/>
        <v>2.375</v>
      </c>
      <c r="C38" s="2">
        <v>0</v>
      </c>
      <c r="D38" s="2">
        <v>7</v>
      </c>
      <c r="E38" s="2">
        <v>4</v>
      </c>
      <c r="F38" s="2">
        <v>2</v>
      </c>
      <c r="G38" s="2">
        <v>2</v>
      </c>
      <c r="H38" s="2">
        <v>4</v>
      </c>
      <c r="J38" s="1" t="s">
        <v>8</v>
      </c>
      <c r="K38" s="1" t="s">
        <v>14</v>
      </c>
      <c r="L38" s="4">
        <v>1400000</v>
      </c>
      <c r="M38" s="26">
        <f t="shared" ref="M38:M40" si="22">L38*1.3</f>
        <v>1820000</v>
      </c>
      <c r="N38" s="4">
        <f t="shared" si="19"/>
        <v>7280000</v>
      </c>
      <c r="P38" s="4">
        <f t="shared" si="20"/>
        <v>11375</v>
      </c>
      <c r="Q38" s="4">
        <f t="shared" si="21"/>
        <v>455000</v>
      </c>
    </row>
    <row r="39" spans="1:17" ht="14.4" customHeight="1" outlineLevel="1" x14ac:dyDescent="0.3">
      <c r="A39" s="8" t="s">
        <v>57</v>
      </c>
      <c r="B39" s="22">
        <f t="shared" si="18"/>
        <v>1.75</v>
      </c>
      <c r="C39" s="2">
        <v>0</v>
      </c>
      <c r="D39" s="2">
        <v>6</v>
      </c>
      <c r="E39" s="2">
        <v>3</v>
      </c>
      <c r="F39" s="2">
        <v>2</v>
      </c>
      <c r="G39" s="2">
        <v>1</v>
      </c>
      <c r="H39" s="2">
        <v>2</v>
      </c>
      <c r="J39" s="1" t="s">
        <v>15</v>
      </c>
      <c r="K39" s="1" t="s">
        <v>14</v>
      </c>
      <c r="L39" s="4">
        <v>1700000</v>
      </c>
      <c r="M39" s="26">
        <f t="shared" si="22"/>
        <v>2210000</v>
      </c>
      <c r="N39" s="4">
        <f t="shared" si="19"/>
        <v>8840000</v>
      </c>
      <c r="P39" s="4">
        <f t="shared" si="20"/>
        <v>13812.5</v>
      </c>
      <c r="Q39" s="4">
        <f t="shared" si="21"/>
        <v>552500</v>
      </c>
    </row>
    <row r="40" spans="1:17" ht="14.4" customHeight="1" outlineLevel="1" x14ac:dyDescent="0.3">
      <c r="A40" s="8" t="s">
        <v>52</v>
      </c>
      <c r="B40" s="22">
        <f t="shared" si="18"/>
        <v>2.875</v>
      </c>
      <c r="C40" s="2">
        <v>1</v>
      </c>
      <c r="D40" s="2">
        <v>9</v>
      </c>
      <c r="E40" s="2">
        <v>5</v>
      </c>
      <c r="F40" s="2">
        <v>3</v>
      </c>
      <c r="G40" s="2">
        <v>2</v>
      </c>
      <c r="H40" s="2">
        <v>3</v>
      </c>
      <c r="J40" s="1" t="s">
        <v>9</v>
      </c>
      <c r="K40" s="1" t="s">
        <v>13</v>
      </c>
      <c r="L40" s="4">
        <v>1200000</v>
      </c>
      <c r="M40" s="26">
        <f t="shared" si="22"/>
        <v>1560000</v>
      </c>
      <c r="N40" s="4">
        <f t="shared" si="19"/>
        <v>6240000</v>
      </c>
      <c r="P40" s="4">
        <f t="shared" si="20"/>
        <v>9750</v>
      </c>
      <c r="Q40" s="4">
        <f t="shared" si="21"/>
        <v>390000</v>
      </c>
    </row>
    <row r="41" spans="1:17" ht="14.4" customHeight="1" outlineLevel="1" x14ac:dyDescent="0.3">
      <c r="A41" s="8" t="s">
        <v>53</v>
      </c>
      <c r="B41" s="22">
        <f t="shared" si="18"/>
        <v>1.375</v>
      </c>
      <c r="C41" s="2">
        <v>0</v>
      </c>
      <c r="D41" s="2">
        <v>4</v>
      </c>
      <c r="E41" s="2">
        <v>4</v>
      </c>
      <c r="F41" s="2">
        <v>2</v>
      </c>
      <c r="G41" s="2">
        <v>1</v>
      </c>
      <c r="H41" s="2">
        <v>0</v>
      </c>
      <c r="L41" s="4">
        <f>SUM(L35:L40)</f>
        <v>10500000</v>
      </c>
      <c r="M41" s="4">
        <f>SUM(M35:M40)</f>
        <v>13650000</v>
      </c>
      <c r="N41" s="4">
        <f>SUM(N35:N40)</f>
        <v>54600000</v>
      </c>
    </row>
    <row r="42" spans="1:17" ht="14.4" customHeight="1" outlineLevel="1" x14ac:dyDescent="0.3">
      <c r="A42" s="8" t="s">
        <v>54</v>
      </c>
      <c r="B42" s="22">
        <f t="shared" si="18"/>
        <v>2.125</v>
      </c>
      <c r="C42" s="2">
        <v>0</v>
      </c>
      <c r="D42" s="2">
        <v>7</v>
      </c>
      <c r="E42" s="2">
        <v>6</v>
      </c>
      <c r="F42" s="2">
        <v>3</v>
      </c>
      <c r="G42" s="2">
        <v>1</v>
      </c>
      <c r="H42" s="2">
        <v>0</v>
      </c>
    </row>
    <row r="43" spans="1:17" ht="14.4" customHeight="1" outlineLevel="1" x14ac:dyDescent="0.3">
      <c r="A43" s="8" t="s">
        <v>34</v>
      </c>
      <c r="B43" s="22">
        <f t="shared" si="18"/>
        <v>1.625</v>
      </c>
      <c r="C43" s="2">
        <v>0</v>
      </c>
      <c r="D43" s="2">
        <v>4</v>
      </c>
      <c r="E43" s="2">
        <v>2</v>
      </c>
      <c r="F43" s="2">
        <v>5</v>
      </c>
      <c r="G43" s="2">
        <v>1</v>
      </c>
      <c r="H43" s="2">
        <v>1</v>
      </c>
    </row>
    <row r="44" spans="1:17" ht="14.4" customHeight="1" outlineLevel="1" x14ac:dyDescent="0.3">
      <c r="A44" s="8" t="s">
        <v>35</v>
      </c>
      <c r="B44" s="22">
        <f t="shared" si="18"/>
        <v>2.5</v>
      </c>
      <c r="C44" s="2">
        <v>1</v>
      </c>
      <c r="D44" s="2">
        <v>7</v>
      </c>
      <c r="E44" s="2">
        <v>4</v>
      </c>
      <c r="F44" s="2">
        <v>6</v>
      </c>
      <c r="G44" s="2">
        <v>1</v>
      </c>
      <c r="H44" s="2">
        <v>1</v>
      </c>
    </row>
    <row r="45" spans="1:17" ht="14.4" customHeight="1" outlineLevel="1" x14ac:dyDescent="0.3">
      <c r="A45" s="8" t="s">
        <v>55</v>
      </c>
      <c r="B45" s="22">
        <f t="shared" si="18"/>
        <v>1</v>
      </c>
      <c r="C45" s="2">
        <v>0</v>
      </c>
      <c r="D45" s="2">
        <v>0</v>
      </c>
      <c r="E45" s="2">
        <v>6</v>
      </c>
      <c r="F45" s="2">
        <v>1</v>
      </c>
      <c r="G45" s="2">
        <v>1</v>
      </c>
      <c r="H45" s="2">
        <v>0</v>
      </c>
    </row>
    <row r="46" spans="1:17" ht="14.4" customHeight="1" outlineLevel="1" x14ac:dyDescent="0.3">
      <c r="A46" s="8" t="s">
        <v>56</v>
      </c>
      <c r="B46" s="22">
        <f t="shared" si="18"/>
        <v>1.25</v>
      </c>
      <c r="C46" s="2">
        <v>3</v>
      </c>
      <c r="D46" s="2">
        <v>2</v>
      </c>
      <c r="E46" s="2">
        <v>2</v>
      </c>
      <c r="F46" s="2">
        <v>1</v>
      </c>
      <c r="G46" s="2">
        <v>1</v>
      </c>
      <c r="H46" s="2">
        <v>1</v>
      </c>
      <c r="J46" s="16" t="s">
        <v>90</v>
      </c>
      <c r="K46" s="27">
        <f>S12/J15</f>
        <v>1892.2147995889004</v>
      </c>
      <c r="L46" s="41" t="s">
        <v>96</v>
      </c>
      <c r="M46" s="41"/>
      <c r="N46" s="41"/>
    </row>
    <row r="47" spans="1:17" ht="14.4" customHeight="1" outlineLevel="1" x14ac:dyDescent="0.3">
      <c r="A47" s="9"/>
      <c r="B47" s="23">
        <f>SUM(B29:B46)</f>
        <v>36.75</v>
      </c>
      <c r="C47" s="11"/>
      <c r="D47" s="11"/>
      <c r="E47" s="11"/>
      <c r="F47" s="11"/>
      <c r="G47" s="11"/>
      <c r="H47" s="11"/>
      <c r="I47" s="12"/>
      <c r="J47" s="16" t="s">
        <v>92</v>
      </c>
      <c r="K47" s="15">
        <f>K46*J15</f>
        <v>77327250</v>
      </c>
      <c r="L47" s="41" t="s">
        <v>97</v>
      </c>
      <c r="M47" s="41"/>
      <c r="N47" s="41"/>
    </row>
    <row r="48" spans="1:17" ht="14.4" customHeight="1" x14ac:dyDescent="0.3">
      <c r="A48" s="17" t="s">
        <v>39</v>
      </c>
      <c r="B48" s="17"/>
      <c r="C48" s="18" t="s">
        <v>5</v>
      </c>
      <c r="D48" s="18" t="s">
        <v>6</v>
      </c>
      <c r="E48" s="18" t="s">
        <v>7</v>
      </c>
      <c r="F48" s="18" t="s">
        <v>8</v>
      </c>
      <c r="G48" s="18" t="s">
        <v>40</v>
      </c>
      <c r="H48" s="18" t="s">
        <v>9</v>
      </c>
      <c r="J48" s="16" t="s">
        <v>77</v>
      </c>
      <c r="K48" s="27">
        <f>L12*K15</f>
        <v>5376</v>
      </c>
      <c r="L48" s="41" t="s">
        <v>98</v>
      </c>
      <c r="M48" s="41"/>
      <c r="N48" s="41"/>
    </row>
    <row r="49" spans="1:14" x14ac:dyDescent="0.3">
      <c r="A49" s="8" t="s">
        <v>58</v>
      </c>
      <c r="B49" s="22">
        <f>SUM(C49:H49)/8</f>
        <v>1.75</v>
      </c>
      <c r="C49" s="2">
        <v>1</v>
      </c>
      <c r="D49" s="2">
        <v>1</v>
      </c>
      <c r="E49" s="2">
        <v>1</v>
      </c>
      <c r="F49" s="2">
        <v>8</v>
      </c>
      <c r="G49" s="2">
        <v>3</v>
      </c>
      <c r="H49" s="2">
        <v>0</v>
      </c>
      <c r="J49" s="16" t="s">
        <v>93</v>
      </c>
      <c r="K49" s="15">
        <f>K48*L15</f>
        <v>263634739.19999999</v>
      </c>
      <c r="L49" s="41" t="s">
        <v>99</v>
      </c>
      <c r="M49" s="41"/>
      <c r="N49" s="41"/>
    </row>
    <row r="50" spans="1:14" x14ac:dyDescent="0.3">
      <c r="A50" s="8" t="s">
        <v>59</v>
      </c>
      <c r="B50" s="22">
        <f t="shared" ref="B50:B60" si="23">SUM(C50:H50)/8</f>
        <v>2.5</v>
      </c>
      <c r="C50" s="2">
        <v>0</v>
      </c>
      <c r="D50" s="2">
        <v>4</v>
      </c>
      <c r="E50" s="2">
        <v>2</v>
      </c>
      <c r="F50" s="2">
        <v>12</v>
      </c>
      <c r="G50" s="2">
        <v>2</v>
      </c>
      <c r="H50" s="2">
        <v>0</v>
      </c>
      <c r="J50" s="16" t="s">
        <v>89</v>
      </c>
      <c r="K50" s="27">
        <f>K48-K46</f>
        <v>3483.7852004110996</v>
      </c>
      <c r="L50" s="30" t="s">
        <v>100</v>
      </c>
      <c r="M50" s="30"/>
      <c r="N50" s="30"/>
    </row>
    <row r="51" spans="1:14" x14ac:dyDescent="0.3">
      <c r="A51" s="8" t="s">
        <v>60</v>
      </c>
      <c r="B51" s="22">
        <f t="shared" si="23"/>
        <v>1.375</v>
      </c>
      <c r="C51" s="2">
        <v>0</v>
      </c>
      <c r="D51" s="2">
        <v>0</v>
      </c>
      <c r="E51" s="2">
        <v>4</v>
      </c>
      <c r="F51" s="2">
        <v>6</v>
      </c>
      <c r="G51" s="2">
        <v>1</v>
      </c>
      <c r="H51" s="2">
        <v>0</v>
      </c>
      <c r="J51" s="16" t="s">
        <v>91</v>
      </c>
      <c r="K51" s="15">
        <f>K50*L15</f>
        <v>170842039.19999999</v>
      </c>
      <c r="L51" s="30" t="s">
        <v>101</v>
      </c>
      <c r="M51" s="30"/>
      <c r="N51" s="30"/>
    </row>
    <row r="52" spans="1:14" x14ac:dyDescent="0.3">
      <c r="A52" s="8" t="s">
        <v>61</v>
      </c>
      <c r="B52" s="22">
        <f t="shared" si="23"/>
        <v>1.125</v>
      </c>
      <c r="C52" s="2">
        <v>0</v>
      </c>
      <c r="D52" s="2">
        <v>0</v>
      </c>
      <c r="E52" s="2">
        <v>2</v>
      </c>
      <c r="F52" s="2">
        <v>5</v>
      </c>
      <c r="G52" s="2">
        <v>2</v>
      </c>
      <c r="H52" s="2">
        <v>0</v>
      </c>
      <c r="J52" s="16" t="s">
        <v>95</v>
      </c>
      <c r="K52" s="29">
        <f>(K50/K46)*100</f>
        <v>184.11150790956614</v>
      </c>
      <c r="L52" s="38" t="s">
        <v>102</v>
      </c>
      <c r="M52" s="39"/>
      <c r="N52" s="40"/>
    </row>
    <row r="53" spans="1:14" x14ac:dyDescent="0.3">
      <c r="A53" s="8" t="s">
        <v>62</v>
      </c>
      <c r="B53" s="22">
        <f t="shared" si="23"/>
        <v>1</v>
      </c>
      <c r="C53" s="2">
        <v>0</v>
      </c>
      <c r="D53" s="2">
        <v>1</v>
      </c>
      <c r="E53" s="2">
        <v>0</v>
      </c>
      <c r="F53" s="2">
        <v>6</v>
      </c>
      <c r="G53" s="2">
        <v>1</v>
      </c>
      <c r="H53" s="2">
        <v>0</v>
      </c>
    </row>
    <row r="54" spans="1:14" x14ac:dyDescent="0.3">
      <c r="A54" s="8" t="s">
        <v>63</v>
      </c>
      <c r="B54" s="22">
        <f t="shared" si="23"/>
        <v>2.25</v>
      </c>
      <c r="C54" s="2">
        <v>0</v>
      </c>
      <c r="D54" s="2">
        <v>6</v>
      </c>
      <c r="E54" s="2">
        <v>3</v>
      </c>
      <c r="F54" s="2">
        <v>8</v>
      </c>
      <c r="G54" s="2">
        <v>1</v>
      </c>
      <c r="H54" s="2">
        <v>0</v>
      </c>
    </row>
    <row r="55" spans="1:14" x14ac:dyDescent="0.3">
      <c r="A55" s="8" t="s">
        <v>64</v>
      </c>
      <c r="B55" s="22">
        <f t="shared" si="23"/>
        <v>1.375</v>
      </c>
      <c r="C55" s="2">
        <v>2</v>
      </c>
      <c r="D55" s="2">
        <v>1</v>
      </c>
      <c r="E55" s="2">
        <v>1</v>
      </c>
      <c r="F55" s="2">
        <v>3</v>
      </c>
      <c r="G55" s="2">
        <v>4</v>
      </c>
      <c r="H55" s="2">
        <v>0</v>
      </c>
    </row>
    <row r="56" spans="1:14" x14ac:dyDescent="0.3">
      <c r="A56" s="8" t="s">
        <v>65</v>
      </c>
      <c r="B56" s="22">
        <f t="shared" si="23"/>
        <v>1.125</v>
      </c>
      <c r="C56" s="2">
        <v>2</v>
      </c>
      <c r="D56" s="2">
        <v>0</v>
      </c>
      <c r="E56" s="2">
        <v>0</v>
      </c>
      <c r="F56" s="2">
        <v>2</v>
      </c>
      <c r="G56" s="2">
        <v>4</v>
      </c>
      <c r="H56" s="2">
        <v>1</v>
      </c>
    </row>
    <row r="57" spans="1:14" x14ac:dyDescent="0.3">
      <c r="A57" s="8" t="s">
        <v>66</v>
      </c>
      <c r="B57" s="22">
        <f t="shared" si="23"/>
        <v>1.25</v>
      </c>
      <c r="C57" s="2">
        <v>0</v>
      </c>
      <c r="D57" s="2">
        <v>2</v>
      </c>
      <c r="E57" s="2">
        <v>0</v>
      </c>
      <c r="F57" s="2">
        <v>2</v>
      </c>
      <c r="G57" s="2">
        <v>4</v>
      </c>
      <c r="H57" s="2">
        <v>2</v>
      </c>
    </row>
    <row r="58" spans="1:14" x14ac:dyDescent="0.3">
      <c r="A58" s="8" t="s">
        <v>67</v>
      </c>
      <c r="B58" s="22">
        <f t="shared" si="23"/>
        <v>0.75</v>
      </c>
      <c r="C58" s="2">
        <v>3</v>
      </c>
      <c r="D58" s="2">
        <v>0</v>
      </c>
      <c r="E58" s="2">
        <v>0</v>
      </c>
      <c r="F58" s="2">
        <v>1</v>
      </c>
      <c r="G58" s="2">
        <v>2</v>
      </c>
      <c r="H58" s="2">
        <v>0</v>
      </c>
    </row>
    <row r="59" spans="1:14" x14ac:dyDescent="0.3">
      <c r="A59" s="8" t="s">
        <v>68</v>
      </c>
      <c r="B59" s="22">
        <f t="shared" si="23"/>
        <v>0.875</v>
      </c>
      <c r="C59" s="2">
        <v>4</v>
      </c>
      <c r="D59" s="2">
        <v>0</v>
      </c>
      <c r="E59" s="2">
        <v>0</v>
      </c>
      <c r="F59" s="2">
        <v>1</v>
      </c>
      <c r="G59" s="2">
        <v>2</v>
      </c>
      <c r="H59" s="2">
        <v>0</v>
      </c>
    </row>
    <row r="60" spans="1:14" x14ac:dyDescent="0.3">
      <c r="A60" s="8" t="s">
        <v>69</v>
      </c>
      <c r="B60" s="22">
        <f t="shared" si="23"/>
        <v>1.375</v>
      </c>
      <c r="C60" s="2">
        <v>3</v>
      </c>
      <c r="D60" s="2">
        <v>2</v>
      </c>
      <c r="E60" s="2">
        <v>1</v>
      </c>
      <c r="F60" s="2">
        <v>2</v>
      </c>
      <c r="G60" s="2">
        <v>2</v>
      </c>
      <c r="H60" s="2">
        <v>1</v>
      </c>
    </row>
    <row r="61" spans="1:14" x14ac:dyDescent="0.3">
      <c r="A61" s="9"/>
      <c r="B61" s="23">
        <f>SUM(B49:B60)</f>
        <v>16.75</v>
      </c>
      <c r="C61" s="11"/>
      <c r="D61" s="11"/>
      <c r="E61" s="11"/>
      <c r="F61" s="11"/>
      <c r="G61" s="11"/>
      <c r="H61" s="11"/>
      <c r="I61" s="12"/>
    </row>
  </sheetData>
  <mergeCells count="9">
    <mergeCell ref="L49:N49"/>
    <mergeCell ref="L52:N52"/>
    <mergeCell ref="A2:D2"/>
    <mergeCell ref="C4:H4"/>
    <mergeCell ref="J4:K4"/>
    <mergeCell ref="L46:N46"/>
    <mergeCell ref="L47:N47"/>
    <mergeCell ref="L48:N48"/>
    <mergeCell ref="G1:J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EDT</vt:lpstr>
      <vt:lpstr>Horas disponibles del equipo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Galan Cruz</dc:creator>
  <cp:lastModifiedBy>Pamela Romero Venegas</cp:lastModifiedBy>
  <dcterms:created xsi:type="dcterms:W3CDTF">2018-01-25T19:02:19Z</dcterms:created>
  <dcterms:modified xsi:type="dcterms:W3CDTF">2026-08-26T19:07:41Z</dcterms:modified>
</cp:coreProperties>
</file>